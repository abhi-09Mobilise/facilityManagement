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d Sequence" sheetId="1" state="visible" r:id="rId3"/>
    <sheet name="Gap Analysis" sheetId="2" state="visible" r:id="rId4"/>
    <sheet name="Milest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<sst xmlns="http://schemas.openxmlformats.org/spreadsheetml/2006/main" count="561" uniqueCount="335">
  <si>
    <t xml:space="preserve">Seq</t>
  </si>
  <si>
    <t xml:space="preserve">Phase</t>
  </si>
  <si>
    <t xml:space="preserve">Priority</t>
  </si>
  <si>
    <t xml:space="preserve">Area</t>
  </si>
  <si>
    <t xml:space="preserve">Milestone</t>
  </si>
  <si>
    <t xml:space="preserve">Milestone Name</t>
  </si>
  <si>
    <t xml:space="preserve">Scope (summary)</t>
  </si>
  <si>
    <t xml:space="preserve">Depends On</t>
  </si>
  <si>
    <t xml:space="preserve">Effort (dev-days)</t>
  </si>
  <si>
    <t xml:space="preserve">Notes / Adjustments</t>
  </si>
  <si>
    <t xml:space="preserve">PHASE 1 - CORE / GENERIC</t>
  </si>
  <si>
    <t xml:space="preserve">Phase 1</t>
  </si>
  <si>
    <t xml:space="preserve">P0</t>
  </si>
  <si>
    <t xml:space="preserve">Foundation</t>
  </si>
  <si>
    <t xml:space="preserve">M0.1</t>
  </si>
  <si>
    <t xml:space="preserve">Desk entity groundwork</t>
  </si>
  <si>
    <t xml:space="preserve">Stable unique desk/chair IDs in layout_json + save-time validation; migration for existing layouts.</t>
  </si>
  <si>
    <t xml:space="preserve">-</t>
  </si>
  <si>
    <t xml:space="preserve">Prerequisite for admin desk blocking, maps, check-in, QR and desk-level reporting. Runs first regardless of priority.</t>
  </si>
  <si>
    <t xml:space="preserve">P1</t>
  </si>
  <si>
    <t xml:space="preserve">Admin Controls</t>
  </si>
  <si>
    <t xml:space="preserve">M5.2</t>
  </si>
  <si>
    <t xml:space="preserve">Desk blocking &amp; maintenance windows</t>
  </si>
  <si>
    <t xml:space="preserve">Desk/chair block status + date-ranged maintenance windows with reason; conflict handling for existing bookings; controls in layout editor.</t>
  </si>
  <si>
    <t xml:space="preserve">M5.1</t>
  </si>
  <si>
    <t xml:space="preserve">Grace-period &amp; policy config UI</t>
  </si>
  <si>
    <t xml:space="preserve">Grace period, release rules and reminder offsets in facility/tenant admin screens.</t>
  </si>
  <si>
    <t xml:space="preserve">Adjusted: the grace_period_minutes + check-in schema (originally part of M1.1) is bundled here so admin config ships first. Effort +1d.</t>
  </si>
  <si>
    <t xml:space="preserve">P2</t>
  </si>
  <si>
    <t xml:space="preserve">User Experience</t>
  </si>
  <si>
    <t xml:space="preserve">M4.1</t>
  </si>
  <si>
    <t xml:space="preserve">Floor-level availability map</t>
  </si>
  <si>
    <t xml:space="preserve">Aggregate per-facility layouts into a floor map; colour-coded availability; polling refresh.</t>
  </si>
  <si>
    <t xml:space="preserve">WebSocket/SSE live push deferred to Phase 2 if needed.</t>
  </si>
  <si>
    <t xml:space="preserve">M4.3</t>
  </si>
  <si>
    <t xml:space="preserve">Mobile optimization pass</t>
  </si>
  <si>
    <t xml:space="preserve">Booking flow, seat picker, check-in screens optimized for phones; responsive audit.</t>
  </si>
  <si>
    <t xml:space="preserve">Check-in screen polish lands after M1.2.</t>
  </si>
  <si>
    <t xml:space="preserve">P3</t>
  </si>
  <si>
    <t xml:space="preserve">Analytics</t>
  </si>
  <si>
    <t xml:space="preserve">M3.1</t>
  </si>
  <si>
    <t xml:space="preserve">Reporting data layer</t>
  </si>
  <si>
    <t xml:space="preserve">Historical daily occupancy aggregates with building/floor/department/BU dimensions; date-range APIs.</t>
  </si>
  <si>
    <t xml:space="preserve">Occupancy/peak metrics don't need release data - can start immediately. No-show/released facts appended in Phase 2.</t>
  </si>
  <si>
    <t xml:space="preserve">M3.2a</t>
  </si>
  <si>
    <t xml:space="preserve">Dashboard v2 - core</t>
  </si>
  <si>
    <t xml:space="preserve">Occupancy trends, peak-period heatmap, drill-down by building/floor/dept; auto-refresh.</t>
  </si>
  <si>
    <t xml:space="preserve">Split from M3.2: no-show &amp; released-bookings views move to Phase 2 (M3.2b).</t>
  </si>
  <si>
    <t xml:space="preserve">P4</t>
  </si>
  <si>
    <t xml:space="preserve">Auto-Release</t>
  </si>
  <si>
    <t xml:space="preserve">M1.1</t>
  </si>
  <si>
    <t xml:space="preserve">Check-in data model</t>
  </si>
  <si>
    <t xml:space="preserve">checked_in_at / checked_out_at columns + status transitions (schema for grace config already done in M5.1).</t>
  </si>
  <si>
    <t xml:space="preserve">Effort -1d (schema partly delivered in M5.1).</t>
  </si>
  <si>
    <t xml:space="preserve">M1.2</t>
  </si>
  <si>
    <t xml:space="preserve">Check-in / check-out API + UI</t>
  </si>
  <si>
    <t xml:space="preserve">POST check-in/check-out with window validation; check-in button on booking cards/detail; admin override.</t>
  </si>
  <si>
    <t xml:space="preserve">M1.3</t>
  </si>
  <si>
    <t xml:space="preserve">Auto-release sweeper</t>
  </si>
  <si>
    <t xml:space="preserve">Release approved bookings past start+grace with no check-in; free seat/capacity; idempotent + race-safe.</t>
  </si>
  <si>
    <t xml:space="preserve">P5</t>
  </si>
  <si>
    <t xml:space="preserve">Notifications</t>
  </si>
  <si>
    <t xml:space="preserve">M6.1</t>
  </si>
  <si>
    <t xml:space="preserve">Reminder engine</t>
  </si>
  <si>
    <t xml:space="preserve">Pre-start booking reminder + check-in expiry reminder; per-tenant offsets.</t>
  </si>
  <si>
    <t xml:space="preserve">M1.4</t>
  </si>
  <si>
    <t xml:space="preserve">Release notifications</t>
  </si>
  <si>
    <t xml:space="preserve">Pre-release warning ('check in within X min') + post-release email, wired into sweeper.</t>
  </si>
  <si>
    <t xml:space="preserve">Cross-cutting</t>
  </si>
  <si>
    <t xml:space="preserve">MX.1a</t>
  </si>
  <si>
    <t xml:space="preserve">Phase 1 stabilization</t>
  </si>
  <si>
    <t xml:space="preserve">Regression + load test on sweeper, pilot floor rollout, fixes.</t>
  </si>
  <si>
    <t xml:space="preserve">All P1</t>
  </si>
  <si>
    <t xml:space="preserve">Split from MX.1.</t>
  </si>
  <si>
    <t xml:space="preserve">PHASE 2 - ADVANCED</t>
  </si>
  <si>
    <t xml:space="preserve">Phase 2</t>
  </si>
  <si>
    <t xml:space="preserve">M5.3</t>
  </si>
  <si>
    <t xml:space="preserve">Central monitoring dashboard</t>
  </si>
  <si>
    <t xml:space="preserve">Admin console: live released/no-show counters, audit log feed, alert feed.</t>
  </si>
  <si>
    <t xml:space="preserve">M1.5, M3.1</t>
  </si>
  <si>
    <t xml:space="preserve">M1.5</t>
  </si>
  <si>
    <t xml:space="preserve">Booking audit log</t>
  </si>
  <si>
    <t xml:space="preserve">booking_audit_log table; events for create/check-in/release/cancel/reschedule; admin viewer + export.</t>
  </si>
  <si>
    <t xml:space="preserve">Moved under Admin priority as it is an admin/compliance feature.</t>
  </si>
  <si>
    <t xml:space="preserve">M4.2</t>
  </si>
  <si>
    <t xml:space="preserve">QR check-in / check-out</t>
  </si>
  <si>
    <t xml:space="preserve">QR per desk/facility, printable labels; mobile scan page -&gt; check-in/out API.</t>
  </si>
  <si>
    <t xml:space="preserve">M4.4</t>
  </si>
  <si>
    <t xml:space="preserve">Team seating visibility</t>
  </si>
  <si>
    <t xml:space="preserve">'My team today' on floor map; permission gating + privacy opt-out.</t>
  </si>
  <si>
    <t xml:space="preserve">M3.2b</t>
  </si>
  <si>
    <t xml:space="preserve">Dashboard v2 - no-show &amp; released views</t>
  </si>
  <si>
    <t xml:space="preserve">No-show analysis + released-bookings report added to dashboard.</t>
  </si>
  <si>
    <t xml:space="preserve">M1.3, M2.3</t>
  </si>
  <si>
    <t xml:space="preserve">Full no-show accuracy requires biometric reconciliation (M2.3); released-bookings view works from M1.3 alone.</t>
  </si>
  <si>
    <t xml:space="preserve">M3.3</t>
  </si>
  <si>
    <t xml:space="preserve">Excel/PDF export</t>
  </si>
  <si>
    <t xml:space="preserve">Generalized export service for all reports; server-side PDF rendering.</t>
  </si>
  <si>
    <t xml:space="preserve">M3.4</t>
  </si>
  <si>
    <t xml:space="preserve">Scheduled report distribution</t>
  </si>
  <si>
    <t xml:space="preserve">Admin-configurable subscriptions; cron renders Excel/PDF and emails.</t>
  </si>
  <si>
    <t xml:space="preserve">M6.2</t>
  </si>
  <si>
    <t xml:space="preserve">Admin occupancy alerts</t>
  </si>
  <si>
    <t xml:space="preserve">Threshold alerts (occupancy %, no-show rate) emailed to admins; per-tenant config.</t>
  </si>
  <si>
    <t xml:space="preserve">P6</t>
  </si>
  <si>
    <t xml:space="preserve">Biometric</t>
  </si>
  <si>
    <t xml:space="preserve">M2.1</t>
  </si>
  <si>
    <t xml:space="preserve">Discovery + connector design</t>
  </si>
  <si>
    <t xml:space="preserve">Confirm vendor &amp; integration mode; employee-ID mapping; interface contract.</t>
  </si>
  <si>
    <t xml:space="preserve">Client input</t>
  </si>
  <si>
    <t xml:space="preserve">Client dependency - can start discovery in parallel during Phase 1 to de-risk.</t>
  </si>
  <si>
    <t xml:space="preserve">M2.2</t>
  </si>
  <si>
    <t xml:space="preserve">Attendance ingestion service</t>
  </si>
  <si>
    <t xml:space="preserve">attendance_records table; scheduled sync; dedupe + employee mapping; failure alerts.</t>
  </si>
  <si>
    <t xml:space="preserve">M2.3</t>
  </si>
  <si>
    <t xml:space="preserve">Reconciliation engine</t>
  </si>
  <si>
    <t xml:space="preserve">Daily join of attendance vs bookings; classify utilized / no-show / walk-in.</t>
  </si>
  <si>
    <t xml:space="preserve">M2.2, M1.3</t>
  </si>
  <si>
    <t xml:space="preserve">M2.4</t>
  </si>
  <si>
    <t xml:space="preserve">Compliance &amp; utilization reports</t>
  </si>
  <si>
    <t xml:space="preserve">Utilized vs no-show vs walk-in by dept/site/date-range; Excel export.</t>
  </si>
  <si>
    <t xml:space="preserve">MX.1b</t>
  </si>
  <si>
    <t xml:space="preserve">Phase 2 UAT &amp; rollout</t>
  </si>
  <si>
    <t xml:space="preserve">End-to-end regression, client UAT, deployment, handover.</t>
  </si>
  <si>
    <t xml:space="preserve">All P2</t>
  </si>
  <si>
    <t xml:space="preserve">Phase 1 total</t>
  </si>
  <si>
    <t xml:space="preserve">Phase 2 total</t>
  </si>
  <si>
    <t xml:space="preserve">Grand total</t>
  </si>
  <si>
    <t xml:space="preserve">Priority order (per Rishabh, 18-Aug): P1 Admin Controls &gt; P2 User Experience &gt; P3 Analytics &gt; P4 Auto-Release &gt; P5 Notifications &gt; P6 Biometric (rest). Phase 1 = generic/core features; Phase 2 = advanced. Adjustments made for hard dependencies: grace-period schema pulled into M5.1; M3.2 split into core (Ph1) and no-show/released views (Ph2); M1.5 audit log grouped under Admin in Ph2; MX.1 UAT split per phase. Draft for validation - edit Seq/Phase cells directly and effort will re-total.</t>
  </si>
  <si>
    <t xml:space="preserve">Req #</t>
  </si>
  <si>
    <t xml:space="preserve">Requirement (from BRD)</t>
  </si>
  <si>
    <t xml:space="preserve">Status</t>
  </si>
  <si>
    <t xml:space="preserve">What We Already Have (code evidence)</t>
  </si>
  <si>
    <t xml:space="preserve">Gap / What Needs To Be Built</t>
  </si>
  <si>
    <t xml:space="preserve">0. Platform Foundation (context)</t>
  </si>
  <si>
    <t xml:space="preserve">0.1</t>
  </si>
  <si>
    <t xml:space="preserve">Core booking platform (multi-tenant, roles, booking engine)</t>
  </si>
  <si>
    <t xml:space="preserve">Achieved</t>
  </si>
  <si>
    <t xml:space="preserve">Node/Express + MySQL + React. Full booking module (bookings.controller.js, 1500+ lines): create, availability check, cancel, reschedule-via-email, shared/capacity bookings with race-safe transactions, multi-step approval chains, per-chair seat selection with clash detection (DESK_TAKEN) and VIP chairs. Roles: super_admin / tenant_admin / org_admin / approver / employee with tenant/org scoping.</t>
  </si>
  <si>
    <t xml:space="preserve">None - solid foundation to build on. Note: system is facility/room-centric; a 'desk' today is a chair inside facilities.layout_json, not a first-class entity. Recommend introducing a proper desk entity (or formalising chair IDs) as groundwork for check-in, biometrics and desk-level reporting.</t>
  </si>
  <si>
    <t xml:space="preserve">1. Automatic Release of Unutilized Desk Bookings</t>
  </si>
  <si>
    <t xml:space="preserve">1.1</t>
  </si>
  <si>
    <t xml:space="preserve">Check-in to booked desk within configurable grace period (15/30 min)</t>
  </si>
  <si>
    <t xml:space="preserve">Not Achieved</t>
  </si>
  <si>
    <t xml:space="preserve">No user check-in exists. The words 'checkin/checkout' in code refer only to approval-workflow stages (facility_approval_chains). Reusable pieces: in-process job runner (jobs/checkoutSweeper.js, 5-min interval) and secured cron endpoint (POST /api/cron/pre-end-notify with CRON_SECRET).</t>
  </si>
  <si>
    <t xml:space="preserve">Check-in/check-out data model (checked_in_at, checked_out_at), check-in API + UI button, per-facility/tenant grace_period_minutes config, admin override.</t>
  </si>
  <si>
    <t xml:space="preserve">1.2</t>
  </si>
  <si>
    <t xml:space="preserve">Auto-release booking if no check-in within grace period</t>
  </si>
  <si>
    <t xml:space="preserve">bookings.status enum includes 'completed' but it is never written by any code path; nothing ever releases or completes a booking. Sweeper pattern exists and can be extended.</t>
  </si>
  <si>
    <t xml:space="preserve">Auto-release sweeper: find approved bookings past start_at + grace with no check-in, set status='released', free the seat/capacity so others can book, handle shared-capacity bookings correctly.</t>
  </si>
  <si>
    <t xml:space="preserve">1.3</t>
  </si>
  <si>
    <t xml:space="preserve">Notifications before and after booking release</t>
  </si>
  <si>
    <t xml:space="preserve">Partial</t>
  </si>
  <si>
    <t xml:space="preserve">Strong email layer: nodemailer (utils/mailer.js), 12+ templates (mailTemplates.js), recipient resolution incl. dept managers, cron-driven bookingEndingSoon already sends time-based emails.</t>
  </si>
  <si>
    <t xml:space="preserve">Two new templates + triggers: 'check in within X min or your desk will be released' (pre-release warning) and 'your booking was released' (post-release). Wire into sweeper.</t>
  </si>
  <si>
    <t xml:space="preserve">1.4</t>
  </si>
  <si>
    <t xml:space="preserve">Complete audit logs for all released bookings</t>
  </si>
  <si>
    <t xml:space="preserve">No audit/activity-log table anywhere. Only created_at/updated_at on bookings and decided_at on approvals.</t>
  </si>
  <si>
    <t xml:space="preserve">booking_audit_log table (booking_id, event, actor [user/system], old/new status, timestamp, metadata JSON), written on create/check-in/release/cancel/reschedule. Admin audit viewer + export.</t>
  </si>
  <si>
    <t xml:space="preserve">2. Biometric Attendance Integration</t>
  </si>
  <si>
    <t xml:space="preserve">2.1</t>
  </si>
  <si>
    <t xml:space="preserve">Integrate desk booking with biometric attendance system</t>
  </si>
  <si>
    <t xml:space="preserve">Nothing exists. Zero references to biometric/attendance in backend, frontend, docs or services.</t>
  </si>
  <si>
    <t xml:space="preserve">Attendance connector (vendor API / DB view / CSV-SFTP import - to be confirmed with client which biometric system they use), attendance_records table, scheduled sync job, employee-ID mapping between HR/biometric IDs and users.</t>
  </si>
  <si>
    <t xml:space="preserve">2.2</t>
  </si>
  <si>
    <t xml:space="preserve">Validate actual office attendance against desk reservations</t>
  </si>
  <si>
    <t xml:space="preserve">Nothing exists.</t>
  </si>
  <si>
    <t xml:space="preserve">Daily reconciliation engine joining attendance punches to bookings per user/site/date.</t>
  </si>
  <si>
    <t xml:space="preserve">2.3</t>
  </si>
  <si>
    <t xml:space="preserve">Identify booked-and-utilized, no-shows, walk-ins</t>
  </si>
  <si>
    <t xml:space="preserve">Only artefact: offline_capacity column comment mentions walk-ins as a manually held-back seat count - no detection or reporting.</t>
  </si>
  <si>
    <t xml:space="preserve">Classification logic: attended + booked = utilized; booked + no punch (or released) = no-show; punch + no booking = walk-in. Persist daily results for reporting.</t>
  </si>
  <si>
    <t xml:space="preserve">2.4</t>
  </si>
  <si>
    <t xml:space="preserve">Attendance compliance and utilization reports</t>
  </si>
  <si>
    <t xml:space="preserve">Compliance report screens + export (per dept/site/date-range), feeding into the analytics dashboard (Req 3).</t>
  </si>
  <si>
    <t xml:space="preserve">3. Advanced Analytics and Reporting Dashboard</t>
  </si>
  <si>
    <t xml:space="preserve">3.1</t>
  </si>
  <si>
    <t xml:space="preserve">Real-time occupancy and utilization dashboard</t>
  </si>
  <si>
    <t xml:space="preserve">GET /api/dashboards/tenant-admin: total/occupied/free now + today's booked-vs-open minutes per facility; DashboardPage.tsx with KPI tiles, recharts drill-down, facility pies; Gantt timeline view (F08). Today-only, refresh on load.</t>
  </si>
  <si>
    <t xml:space="preserve">Historical date-range metrics, occupancy trend over time, auto-refresh/live updates, desk-level (vs facility-level) utilization.</t>
  </si>
  <si>
    <t xml:space="preserve">3.2</t>
  </si>
  <si>
    <t xml:space="preserve">Analytics by location, building, floor, department, business unit</t>
  </si>
  <si>
    <t xml:space="preserve">Filters exist for tenant / organisation / site (TenantScopeContext, MastersFilterContext). Buildings, floors, departments all exist as master entities; bookings store department_id.</t>
  </si>
  <si>
    <t xml:space="preserve">Aggregation + drill-down by building, floor, department, business unit (BU concept may need adding to masters). No report today uses department_id.</t>
  </si>
  <si>
    <t xml:space="preserve">3.3</t>
  </si>
  <si>
    <t xml:space="preserve">Reports: occupancy trends, no-show analysis, released bookings, peak utilization</t>
  </si>
  <si>
    <t xml:space="preserve">None exist (README itself lists 'tenant reports - utilisation, no-shows, peak hours' as still to build). No-show/released data depends on Req 1 &amp; 2 being built.</t>
  </si>
  <si>
    <t xml:space="preserve">Reporting module with 4 report types, date-range + dimension filters. Depends on check-in/release events (Req 1) and attendance reconciliation (Req 2).</t>
  </si>
  <si>
    <t xml:space="preserve">3.4</t>
  </si>
  <si>
    <t xml:space="preserve">Export functionality in Excel/PDF</t>
  </si>
  <si>
    <t xml:space="preserve">xlsx library already in frontend; used once - FacilitiesListPage.tsx exports the facilities master list to Excel.</t>
  </si>
  <si>
    <t xml:space="preserve">Generalized export for all reports/dashboards; PDF generation (none exists - add server-side e.g. puppeteer/pdfkit).</t>
  </si>
  <si>
    <t xml:space="preserve">3.5</t>
  </si>
  <si>
    <t xml:space="preserve">Scheduled report distribution via email</t>
  </si>
  <si>
    <t xml:space="preserve">Only scheduled email is cron pre-end-notify (booking ending soon). Mailer infra is solid.</t>
  </si>
  <si>
    <t xml:space="preserve">Report scheduler: admin-configurable subscriptions (report, frequency, recipients), cron job rendering report to Excel/PDF and emailing it.</t>
  </si>
  <si>
    <t xml:space="preserve">4. Enhanced User Experience</t>
  </si>
  <si>
    <t xml:space="preserve">4.1</t>
  </si>
  <si>
    <t xml:space="preserve">Interactive floor maps with real-time desk availability</t>
  </si>
  <si>
    <t xml:space="preserve">Strongest area. DeskLayoutEditor.tsx (~1500 lines): admin 2D SVG editor - floor image upload, drag/rotate/resize desks/chairs/walls, scale in metres, VIP marking; CV auto-detection of chairs/tables via floor-scan-svc (FastAPI + OpenCV, proxied at POST /api/floor-scan). DeskPicker.tsx: booker view, chairs colour-coded available/occupied/selected per chosen time window (via GET /api/bookings/check). Unwired extras: three.js 3D Floor Studio shell (no persistence), Mask R-CNN service (not routed).</t>
  </si>
  <si>
    <t xml:space="preserve">Maps are per-facility, not per-floor - add floor-level map aggregating all desks; live refresh (polling or WebSocket/SSE - none exists today); availability currently refreshes only on user interaction.</t>
  </si>
  <si>
    <t xml:space="preserve">4.2</t>
  </si>
  <si>
    <t xml:space="preserve">Search and filter by location, floor, etc.</t>
  </si>
  <si>
    <t xml:space="preserve">GET /api/bookings with q/status/facility/date filters + scope (mine/team/tenant); BookingsTable tabs + search; cascading tenant-&gt;org-&gt;site filters; public portal browsing.</t>
  </si>
  <si>
    <t xml:space="preserve">Minor: add floor/building as explicit booking-search filters if required.</t>
  </si>
  <si>
    <t xml:space="preserve">4.3</t>
  </si>
  <si>
    <t xml:space="preserve">Mobile-responsive booking experience</t>
  </si>
  <si>
    <t xml:space="preserve">AppLayout.tsx: hamburger + off-canvas drawer at md: breakpoint, responsive padding; Tailwind throughout.</t>
  </si>
  <si>
    <t xml:space="preserve">Seat-map (SVG picker) and DataGrid-heavy pages not optimized for phones; needs a mobile pass on booking flow + check-in screens.</t>
  </si>
  <si>
    <t xml:space="preserve">4.4</t>
  </si>
  <si>
    <t xml:space="preserve">QR code-based check-in and check-out</t>
  </si>
  <si>
    <t xml:space="preserve">No QR library, route, or dependency anywhere.</t>
  </si>
  <si>
    <t xml:space="preserve">QR generation per desk/facility (printable labels), scan -&gt; auth -&gt; check-in/out endpoint (builds on Req 1.1), camera-based scan page for mobile.</t>
  </si>
  <si>
    <t xml:space="preserve">4.5</t>
  </si>
  <si>
    <t xml:space="preserve">Team members' seating visibility (permission-gated)</t>
  </si>
  <si>
    <t xml:space="preserve">GET /api/bookings?scope=team returns dept bookings for department managers (departments.manager_user_id); RoleGate permission components exist.</t>
  </si>
  <si>
    <t xml:space="preserve">'Where is my team sitting today' view on the floor map for regular employees, with privacy/permission controls (opt-out, role gating).</t>
  </si>
  <si>
    <t xml:space="preserve">5. Administrative Controls</t>
  </si>
  <si>
    <t xml:space="preserve">5.1</t>
  </si>
  <si>
    <t xml:space="preserve">Configurable booking rules and grace periods</t>
  </si>
  <si>
    <t xml:space="preserve">Booking rules well covered: per-facility min_advance_minutes, max_advance_days, max bookings per user per day/week/month (032, enforced in checkAdvanceRules incl. on reschedule); per-slot capacity overrides; operating hours + slot_minutes; requires_approval; T&amp;Cs.</t>
  </si>
  <si>
    <t xml:space="preserve">Grace-period configuration does not exist (no column/field) - add per-facility/tenant setting + admin UI (part of Req 1).</t>
  </si>
  <si>
    <t xml:space="preserve">5.2</t>
  </si>
  <si>
    <t xml:space="preserve">Desk blocking and maintenance management</t>
  </si>
  <si>
    <t xml:space="preserve">Closest equivalents: facility status 0/1 (whole facility on/off), offline_capacity (hold back N seats), VIP flag (hide chair from bookers). No maintenance state, no date-ranged blocking.</t>
  </si>
  <si>
    <t xml:space="preserve">Desk/chair-level block status + date-ranged maintenance windows (blackout periods), reason tracking, auto-conflict handling for existing bookings, admin UI on the layout editor.</t>
  </si>
  <si>
    <t xml:space="preserve">5.3</t>
  </si>
  <si>
    <t xml:space="preserve">Reservation limits and policy-based controls</t>
  </si>
  <si>
    <t xml:space="preserve">Fully exists: per-user daily/weekly/monthly booking caps, advance-window rules, approval workflows per facility, admin bypass. Enforced server-side.</t>
  </si>
  <si>
    <t xml:space="preserve">None significant. Optionally extend policies to department level.</t>
  </si>
  <si>
    <t xml:space="preserve">5.4</t>
  </si>
  <si>
    <t xml:space="preserve">Centralized administration dashboard</t>
  </si>
  <si>
    <t xml:space="preserve">Admin dashboard (occupancy today + Gantt) plus full masters CRUD (tenants/orgs/sites/buildings/floors/facilities/departments/users/pantries), approval chain editor, slot capacity editor.</t>
  </si>
  <si>
    <t xml:space="preserve">Consolidated monitoring view: released bookings, no-shows, alerts, audit log - grows out of Req 1-3 deliverables.</t>
  </si>
  <si>
    <t xml:space="preserve">6. Notifications and Alerts</t>
  </si>
  <si>
    <t xml:space="preserve">6.1</t>
  </si>
  <si>
    <t xml:space="preserve">Booking confirmations and reminders</t>
  </si>
  <si>
    <t xml:space="preserve">Confirmations are rich: bookingSubmitted, approvalRequested (with one-click action tokens), bookingConfirmed (with reschedule/cancel deep links, guest fan-out), decision + FYI notifications, bookingEndingSoon cron.</t>
  </si>
  <si>
    <t xml:space="preserve">No pre-start reminder ('your booking starts in 1 hour') - add reminder scheduler + template.</t>
  </si>
  <si>
    <t xml:space="preserve">6.2</t>
  </si>
  <si>
    <t xml:space="preserve">Check-in reminders before booking expiry</t>
  </si>
  <si>
    <t xml:space="preserve">Mailer + cron infra reusable.</t>
  </si>
  <si>
    <t xml:space="preserve">Depends on Req 1: reminder at booking start / T-minus-X of grace expiry.</t>
  </si>
  <si>
    <t xml:space="preserve">6.3</t>
  </si>
  <si>
    <t xml:space="preserve">Auto-release notifications</t>
  </si>
  <si>
    <t xml:space="preserve">Mailer infra reusable.</t>
  </si>
  <si>
    <t xml:space="preserve">Same as 1.3 - pre-warning + post-release emails.</t>
  </si>
  <si>
    <t xml:space="preserve">6.4</t>
  </si>
  <si>
    <t xml:space="preserve">Occupancy/utilization alerts for administrators</t>
  </si>
  <si>
    <t xml:space="preserve">Threshold-based admin alerts (e.g. floor &gt;90% booked, no-show rate spike), configurable per tenant.</t>
  </si>
  <si>
    <t xml:space="preserve">Legend: Achieved = exists and usable today · Partial = building blocks exist, needs extension · Not Achieved = net-new build. Code evidence refers to files in the FacilityManagement repo (backend/src, frontend/src).</t>
  </si>
  <si>
    <t xml:space="preserve">Scope / Deliverables</t>
  </si>
  <si>
    <t xml:space="preserve">Builds On (existing)</t>
  </si>
  <si>
    <t xml:space="preserve">Timeline (weeks)</t>
  </si>
  <si>
    <t xml:space="preserve">0</t>
  </si>
  <si>
    <t xml:space="preserve">Formalise desks: stable desk/chair IDs in layout_json or a desks table keyed to facility/floor; migration for existing layouts. Unblocks check-in, QR, biometrics and desk-level reporting.</t>
  </si>
  <si>
    <t xml:space="preserve">facilities.layout_json chair objects; migration framework (scripts/migrate.js)</t>
  </si>
  <si>
    <t xml:space="preserve">Wk 1</t>
  </si>
  <si>
    <t xml:space="preserve">1</t>
  </si>
  <si>
    <t xml:space="preserve">Check-in data model + grace config</t>
  </si>
  <si>
    <t xml:space="preserve">Add checked_in_at/checked_out_at + status transitions to bookings; grace_period_minutes per facility with tenant default; admin config UI.</t>
  </si>
  <si>
    <t xml:space="preserve">bookings table, facilities settings pattern (032 advance rules), masters admin UI</t>
  </si>
  <si>
    <t xml:space="preserve">Wk 1-2</t>
  </si>
  <si>
    <t xml:space="preserve">POST /bookings/:id/check-in &amp; /check-out with window validation; check-in button on booking cards + booking detail; admin manual override.</t>
  </si>
  <si>
    <t xml:space="preserve">bookings.controller.js, BookingsTable.tsx</t>
  </si>
  <si>
    <t xml:space="preserve">Wk 2-3</t>
  </si>
  <si>
    <t xml:space="preserve">Extend job runner: release approved bookings past start+grace with no check-in (status='released'), free seat/capacity incl. shared bookings; idempotent + race-safe.</t>
  </si>
  <si>
    <t xml:space="preserve">jobs/checkoutSweeper.js pattern, withTransaction/FOR SHARE locking</t>
  </si>
  <si>
    <t xml:space="preserve">Wk 3-4</t>
  </si>
  <si>
    <t xml:space="preserve">Pre-release warning email ('check in within X min') and post-release email; wired into sweeper.</t>
  </si>
  <si>
    <t xml:space="preserve">mailer.js + mailTemplates.js + cron pre-end-notify pattern</t>
  </si>
  <si>
    <t xml:space="preserve">Wk 4</t>
  </si>
  <si>
    <t xml:space="preserve">booking_audit_log table; events for create/check-in/release/cancel/reschedule (actor: user/system); admin viewer with filters + Excel export.</t>
  </si>
  <si>
    <t xml:space="preserve">migration framework; DataGrid admin pages</t>
  </si>
  <si>
    <t xml:space="preserve">Wk 4-5</t>
  </si>
  <si>
    <t xml:space="preserve">2</t>
  </si>
  <si>
    <t xml:space="preserve">Biometric Integration</t>
  </si>
  <si>
    <t xml:space="preserve">Confirm biometric vendor &amp; integration mode (API / DB view / CSV-SFTP); employee-ID mapping strategy; finalize interface contract with client IT.</t>
  </si>
  <si>
    <t xml:space="preserve">attendance_records table; scheduled sync job (pull or file import); dedupe + employee mapping to users; error/monitoring hooks.</t>
  </si>
  <si>
    <t xml:space="preserve">cron controller (CRON_SECRET), mailer for failure alerts</t>
  </si>
  <si>
    <t xml:space="preserve">Wk 5-6</t>
  </si>
  <si>
    <t xml:space="preserve">Daily job joining attendance to bookings per user/site/date; classify utilized / no-show / walk-in; persist daily results.</t>
  </si>
  <si>
    <t xml:space="preserve">bookings + released status (M1.3)</t>
  </si>
  <si>
    <t xml:space="preserve">Wk 6-7</t>
  </si>
  <si>
    <t xml:space="preserve">Report screens: utilized vs no-show vs walk-in by dept/site/date-range; Excel export.</t>
  </si>
  <si>
    <t xml:space="preserve">dashboards module, xlsx export pattern</t>
  </si>
  <si>
    <t xml:space="preserve">Wk 7-8</t>
  </si>
  <si>
    <t xml:space="preserve">3</t>
  </si>
  <si>
    <t xml:space="preserve">Analytics &amp; Reporting</t>
  </si>
  <si>
    <t xml:space="preserve">Historical aggregation (daily occupancy facts) with building/floor/department/BU dimensions; date-range APIs (today-only limitation removed).</t>
  </si>
  <si>
    <t xml:space="preserve">dashboards.controller.js, buildings/floors/departments masters, department_id on bookings</t>
  </si>
  <si>
    <t xml:space="preserve">M1.3 (release data)</t>
  </si>
  <si>
    <t xml:space="preserve">Wk 8-9</t>
  </si>
  <si>
    <t xml:space="preserve">M3.2</t>
  </si>
  <si>
    <t xml:space="preserve">Dashboard v2</t>
  </si>
  <si>
    <t xml:space="preserve">Occupancy trends, peak-period heatmap, no-show analysis, released-bookings report; drill-down by building/floor/dept/BU; auto-refresh.</t>
  </si>
  <si>
    <t xml:space="preserve">DashboardPage.tsx + recharts + Gantt</t>
  </si>
  <si>
    <t xml:space="preserve">M3.1, M2.3</t>
  </si>
  <si>
    <t xml:space="preserve">Wk 9-11</t>
  </si>
  <si>
    <t xml:space="preserve">Generalized export service for all reports; server-side PDF rendering (puppeteer/pdfkit).</t>
  </si>
  <si>
    <t xml:space="preserve">xlsx already used in FacilitiesListPage.tsx</t>
  </si>
  <si>
    <t xml:space="preserve">Wk 11</t>
  </si>
  <si>
    <t xml:space="preserve">Admin-configurable subscriptions (report, frequency, recipients); cron renders Excel/PDF and emails.</t>
  </si>
  <si>
    <t xml:space="preserve">mailer.js, cron pattern</t>
  </si>
  <si>
    <t xml:space="preserve">Wk 11-12</t>
  </si>
  <si>
    <t xml:space="preserve">4</t>
  </si>
  <si>
    <t xml:space="preserve">Floor-level live availability map</t>
  </si>
  <si>
    <t xml:space="preserve">Aggregate per-facility layouts into a floor map view; colour-coded live availability; polling first (WebSocket/SSE optional phase 2).</t>
  </si>
  <si>
    <t xml:space="preserve">DeskPicker.tsx, DeskLayoutEditor.tsx, GET /api/bookings/check</t>
  </si>
  <si>
    <t xml:space="preserve">QR code per desk/facility (printable labels from admin); mobile scan page -&gt; auth -&gt; check-in/out API.</t>
  </si>
  <si>
    <t xml:space="preserve">check-in API (M1.2)</t>
  </si>
  <si>
    <t xml:space="preserve">Booking flow, seat picker and check-in screens optimized for phones; responsive audit of DataGrid pages.</t>
  </si>
  <si>
    <t xml:space="preserve">AppLayout responsive shell, Tailwind</t>
  </si>
  <si>
    <t xml:space="preserve">'My team today' view on floor map; permission gating (role + opt-out privacy setting).</t>
  </si>
  <si>
    <t xml:space="preserve">scope=team API, RoleGate.tsx, floor map (M4.1)</t>
  </si>
  <si>
    <t xml:space="preserve">5</t>
  </si>
  <si>
    <t xml:space="preserve">Surface grace period, release rules and reminder offsets in facility/tenant admin screens.</t>
  </si>
  <si>
    <t xml:space="preserve">Facility settings UI (advance rules editor)</t>
  </si>
  <si>
    <t xml:space="preserve">DeskLayoutEditor (VIP flag pattern), facility status/offline_capacity</t>
  </si>
  <si>
    <t xml:space="preserve">Admin console tab: live released/no-show counters, audit log, alert feed.</t>
  </si>
  <si>
    <t xml:space="preserve">Admin dashboard, M1.5 audit log</t>
  </si>
  <si>
    <t xml:space="preserve">Wk 12</t>
  </si>
  <si>
    <t xml:space="preserve">6</t>
  </si>
  <si>
    <t xml:space="preserve">mailer.js, cron pre-end-notify</t>
  </si>
  <si>
    <t xml:space="preserve">Threshold alerts (occupancy %, no-show rate) emailed to admins; configurable per tenant.</t>
  </si>
  <si>
    <t xml:space="preserve">mailer.js, reporting layer (M3.1)</t>
  </si>
  <si>
    <t xml:space="preserve">X</t>
  </si>
  <si>
    <t xml:space="preserve">MX.1</t>
  </si>
  <si>
    <t xml:space="preserve">UAT, hardening &amp; rollout</t>
  </si>
  <si>
    <t xml:space="preserve">End-to-end regression, load test on sweeper/reporting queries, data migration checks, pilot floor rollout, client UAT + fixes, deployment.</t>
  </si>
  <si>
    <t xml:space="preserve">docs/DEPLOY.md</t>
  </si>
  <si>
    <t xml:space="preserve">All</t>
  </si>
  <si>
    <t xml:space="preserve">Wk 13-14</t>
  </si>
  <si>
    <t xml:space="preserve">Total estimated effort</t>
  </si>
  <si>
    <t xml:space="preserve">Notes: Effort = focused dev-days per milestone (1 developer), excluding PM/QA overhead. Timeline assumes ~2 developers working parallel streams (Stream A: Req 1/5/6 + QR; Stream B: Req 2/3/4), giving ~14 weeks end-to-end incl. UAT. Req 2 timeline is contingent on client confirming the biometric vendor/interface by Wk 3. No third-party licence costs expected: all suggested libraries (QR, PDF, charts) are open source; biometric vendor API access to be provided by client.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</si>
</sst>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DEBF7"/>
      </patternFill>
    </fill>
    <fill>
      <patternFill patternType="solid">
        <fgColor rgb="FFEDEDED"/>
        <bgColor rgb="FFEDF2F9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EDF2F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C6EFCE"/>
      <rgbColor rgb="FFFFEB9C"/>
      <rgbColor rgb="FFE4DFEC"/>
      <rgbColor rgb="FFFCE4D6"/>
      <rgbColor rgb="FFEDEDED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5.05" hidden="false" customHeight="false" outlineLevel="0" collapsed="false">
      <c r="A3" s="3" t="n">
        <v>1</v>
      </c>
      <c r="B3" s="3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6" t="s">
        <v>16</v>
      </c>
      <c r="H3" s="3" t="s">
        <v>17</v>
      </c>
      <c r="I3" s="3" t="n">
        <v>4</v>
      </c>
      <c r="J3" s="6" t="s">
        <v>18</v>
      </c>
    </row>
    <row r="4" customFormat="false" ht="35.05" hidden="false" customHeight="false" outlineLevel="0" collapsed="false">
      <c r="A4" s="3" t="n">
        <v>2</v>
      </c>
      <c r="B4" s="3" t="s">
        <v>11</v>
      </c>
      <c r="C4" s="3" t="s">
        <v>19</v>
      </c>
      <c r="D4" s="7" t="s">
        <v>20</v>
      </c>
      <c r="E4" s="5" t="s">
        <v>21</v>
      </c>
      <c r="F4" s="6" t="s">
        <v>22</v>
      </c>
      <c r="G4" s="6" t="s">
        <v>23</v>
      </c>
      <c r="H4" s="3" t="s">
        <v>14</v>
      </c>
      <c r="I4" s="3" t="n">
        <v>5</v>
      </c>
      <c r="J4" s="6"/>
    </row>
    <row r="5" customFormat="false" ht="35.05" hidden="false" customHeight="false" outlineLevel="0" collapsed="false">
      <c r="A5" s="3" t="n">
        <v>3</v>
      </c>
      <c r="B5" s="3" t="s">
        <v>11</v>
      </c>
      <c r="C5" s="3" t="s">
        <v>19</v>
      </c>
      <c r="D5" s="7" t="s">
        <v>20</v>
      </c>
      <c r="E5" s="5" t="s">
        <v>24</v>
      </c>
      <c r="F5" s="6" t="s">
        <v>25</v>
      </c>
      <c r="G5" s="6" t="s">
        <v>26</v>
      </c>
      <c r="H5" s="3" t="s">
        <v>14</v>
      </c>
      <c r="I5" s="3" t="n">
        <v>4</v>
      </c>
      <c r="J5" s="6" t="s">
        <v>27</v>
      </c>
    </row>
    <row r="6" customFormat="false" ht="23.85" hidden="false" customHeight="false" outlineLevel="0" collapsed="false">
      <c r="A6" s="3" t="n">
        <v>4</v>
      </c>
      <c r="B6" s="3" t="s">
        <v>11</v>
      </c>
      <c r="C6" s="3" t="s">
        <v>28</v>
      </c>
      <c r="D6" s="8" t="s">
        <v>29</v>
      </c>
      <c r="E6" s="5" t="s">
        <v>30</v>
      </c>
      <c r="F6" s="6" t="s">
        <v>31</v>
      </c>
      <c r="G6" s="6" t="s">
        <v>32</v>
      </c>
      <c r="H6" s="3" t="s">
        <v>14</v>
      </c>
      <c r="I6" s="3" t="n">
        <v>6</v>
      </c>
      <c r="J6" s="6" t="s">
        <v>33</v>
      </c>
    </row>
    <row r="7" customFormat="false" ht="23.85" hidden="false" customHeight="false" outlineLevel="0" collapsed="false">
      <c r="A7" s="3" t="n">
        <v>5</v>
      </c>
      <c r="B7" s="3" t="s">
        <v>11</v>
      </c>
      <c r="C7" s="3" t="s">
        <v>28</v>
      </c>
      <c r="D7" s="8" t="s">
        <v>29</v>
      </c>
      <c r="E7" s="5" t="s">
        <v>34</v>
      </c>
      <c r="F7" s="6" t="s">
        <v>35</v>
      </c>
      <c r="G7" s="6" t="s">
        <v>36</v>
      </c>
      <c r="H7" s="3" t="s">
        <v>30</v>
      </c>
      <c r="I7" s="3" t="n">
        <v>5</v>
      </c>
      <c r="J7" s="6" t="s">
        <v>37</v>
      </c>
    </row>
    <row r="8" customFormat="false" ht="35.05" hidden="false" customHeight="false" outlineLevel="0" collapsed="false">
      <c r="A8" s="3" t="n">
        <v>6</v>
      </c>
      <c r="B8" s="3" t="s">
        <v>11</v>
      </c>
      <c r="C8" s="3" t="s">
        <v>38</v>
      </c>
      <c r="D8" s="9" t="s">
        <v>39</v>
      </c>
      <c r="E8" s="5" t="s">
        <v>40</v>
      </c>
      <c r="F8" s="6" t="s">
        <v>41</v>
      </c>
      <c r="G8" s="6" t="s">
        <v>42</v>
      </c>
      <c r="H8" s="3" t="s">
        <v>17</v>
      </c>
      <c r="I8" s="3" t="n">
        <v>6</v>
      </c>
      <c r="J8" s="6" t="s">
        <v>43</v>
      </c>
    </row>
    <row r="9" customFormat="false" ht="23.85" hidden="false" customHeight="false" outlineLevel="0" collapsed="false">
      <c r="A9" s="3" t="n">
        <v>7</v>
      </c>
      <c r="B9" s="3" t="s">
        <v>11</v>
      </c>
      <c r="C9" s="3" t="s">
        <v>38</v>
      </c>
      <c r="D9" s="9" t="s">
        <v>39</v>
      </c>
      <c r="E9" s="5" t="s">
        <v>44</v>
      </c>
      <c r="F9" s="6" t="s">
        <v>45</v>
      </c>
      <c r="G9" s="6" t="s">
        <v>46</v>
      </c>
      <c r="H9" s="3" t="s">
        <v>40</v>
      </c>
      <c r="I9" s="3" t="n">
        <v>5</v>
      </c>
      <c r="J9" s="6" t="s">
        <v>47</v>
      </c>
    </row>
    <row r="10" customFormat="false" ht="23.85" hidden="false" customHeight="false" outlineLevel="0" collapsed="false">
      <c r="A10" s="3" t="n">
        <v>8</v>
      </c>
      <c r="B10" s="3" t="s">
        <v>11</v>
      </c>
      <c r="C10" s="3" t="s">
        <v>48</v>
      </c>
      <c r="D10" s="10" t="s">
        <v>49</v>
      </c>
      <c r="E10" s="5" t="s">
        <v>50</v>
      </c>
      <c r="F10" s="6" t="s">
        <v>51</v>
      </c>
      <c r="G10" s="6" t="s">
        <v>52</v>
      </c>
      <c r="H10" s="3" t="s">
        <v>24</v>
      </c>
      <c r="I10" s="3" t="n">
        <v>3</v>
      </c>
      <c r="J10" s="6" t="s">
        <v>53</v>
      </c>
    </row>
    <row r="11" customFormat="false" ht="23.85" hidden="false" customHeight="false" outlineLevel="0" collapsed="false">
      <c r="A11" s="3" t="n">
        <v>9</v>
      </c>
      <c r="B11" s="3" t="s">
        <v>11</v>
      </c>
      <c r="C11" s="3" t="s">
        <v>48</v>
      </c>
      <c r="D11" s="10" t="s">
        <v>49</v>
      </c>
      <c r="E11" s="5" t="s">
        <v>54</v>
      </c>
      <c r="F11" s="6" t="s">
        <v>55</v>
      </c>
      <c r="G11" s="6" t="s">
        <v>56</v>
      </c>
      <c r="H11" s="3" t="s">
        <v>50</v>
      </c>
      <c r="I11" s="3" t="n">
        <v>5</v>
      </c>
      <c r="J11" s="6"/>
    </row>
    <row r="12" customFormat="false" ht="23.85" hidden="false" customHeight="false" outlineLevel="0" collapsed="false">
      <c r="A12" s="3" t="n">
        <v>10</v>
      </c>
      <c r="B12" s="3" t="s">
        <v>11</v>
      </c>
      <c r="C12" s="3" t="s">
        <v>48</v>
      </c>
      <c r="D12" s="10" t="s">
        <v>49</v>
      </c>
      <c r="E12" s="5" t="s">
        <v>57</v>
      </c>
      <c r="F12" s="6" t="s">
        <v>58</v>
      </c>
      <c r="G12" s="6" t="s">
        <v>59</v>
      </c>
      <c r="H12" s="3" t="s">
        <v>54</v>
      </c>
      <c r="I12" s="3" t="n">
        <v>5</v>
      </c>
      <c r="J12" s="6"/>
    </row>
    <row r="13" customFormat="false" ht="23.85" hidden="false" customHeight="false" outlineLevel="0" collapsed="false">
      <c r="A13" s="3" t="n">
        <v>11</v>
      </c>
      <c r="B13" s="3" t="s">
        <v>11</v>
      </c>
      <c r="C13" s="3" t="s">
        <v>60</v>
      </c>
      <c r="D13" s="11" t="s">
        <v>61</v>
      </c>
      <c r="E13" s="5" t="s">
        <v>62</v>
      </c>
      <c r="F13" s="6" t="s">
        <v>63</v>
      </c>
      <c r="G13" s="6" t="s">
        <v>64</v>
      </c>
      <c r="H13" s="3" t="s">
        <v>54</v>
      </c>
      <c r="I13" s="3" t="n">
        <v>4</v>
      </c>
      <c r="J13" s="6"/>
    </row>
    <row r="14" customFormat="false" ht="23.85" hidden="false" customHeight="false" outlineLevel="0" collapsed="false">
      <c r="A14" s="3" t="n">
        <v>12</v>
      </c>
      <c r="B14" s="3" t="s">
        <v>11</v>
      </c>
      <c r="C14" s="3" t="s">
        <v>60</v>
      </c>
      <c r="D14" s="11" t="s">
        <v>61</v>
      </c>
      <c r="E14" s="5" t="s">
        <v>65</v>
      </c>
      <c r="F14" s="6" t="s">
        <v>66</v>
      </c>
      <c r="G14" s="6" t="s">
        <v>67</v>
      </c>
      <c r="H14" s="3" t="s">
        <v>57</v>
      </c>
      <c r="I14" s="3" t="n">
        <v>3</v>
      </c>
      <c r="J14" s="6"/>
    </row>
    <row r="15" customFormat="false" ht="15" hidden="false" customHeight="false" outlineLevel="0" collapsed="false">
      <c r="A15" s="3" t="n">
        <v>13</v>
      </c>
      <c r="B15" s="3" t="s">
        <v>11</v>
      </c>
      <c r="C15" s="3" t="s">
        <v>12</v>
      </c>
      <c r="D15" s="4" t="s">
        <v>68</v>
      </c>
      <c r="E15" s="5" t="s">
        <v>69</v>
      </c>
      <c r="F15" s="6" t="s">
        <v>70</v>
      </c>
      <c r="G15" s="6" t="s">
        <v>71</v>
      </c>
      <c r="H15" s="3" t="s">
        <v>72</v>
      </c>
      <c r="I15" s="3" t="n">
        <v>4</v>
      </c>
      <c r="J15" s="6" t="s">
        <v>73</v>
      </c>
    </row>
    <row r="16" customFormat="false" ht="15" hidden="false" customHeight="false" outlineLevel="0" collapsed="false">
      <c r="A16" s="12" t="s">
        <v>74</v>
      </c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23.85" hidden="false" customHeight="false" outlineLevel="0" collapsed="false">
      <c r="A17" s="3" t="n">
        <v>14</v>
      </c>
      <c r="B17" s="3" t="s">
        <v>75</v>
      </c>
      <c r="C17" s="3" t="s">
        <v>19</v>
      </c>
      <c r="D17" s="7" t="s">
        <v>20</v>
      </c>
      <c r="E17" s="5" t="s">
        <v>76</v>
      </c>
      <c r="F17" s="6" t="s">
        <v>77</v>
      </c>
      <c r="G17" s="6" t="s">
        <v>78</v>
      </c>
      <c r="H17" s="3" t="s">
        <v>79</v>
      </c>
      <c r="I17" s="3" t="n">
        <v>4</v>
      </c>
      <c r="J17" s="6"/>
    </row>
    <row r="18" customFormat="false" ht="23.85" hidden="false" customHeight="false" outlineLevel="0" collapsed="false">
      <c r="A18" s="3" t="n">
        <v>15</v>
      </c>
      <c r="B18" s="3" t="s">
        <v>75</v>
      </c>
      <c r="C18" s="3" t="s">
        <v>19</v>
      </c>
      <c r="D18" s="7" t="s">
        <v>20</v>
      </c>
      <c r="E18" s="5" t="s">
        <v>80</v>
      </c>
      <c r="F18" s="6" t="s">
        <v>81</v>
      </c>
      <c r="G18" s="6" t="s">
        <v>82</v>
      </c>
      <c r="H18" s="3" t="s">
        <v>57</v>
      </c>
      <c r="I18" s="3" t="n">
        <v>4</v>
      </c>
      <c r="J18" s="6" t="s">
        <v>83</v>
      </c>
    </row>
    <row r="19" customFormat="false" ht="23.85" hidden="false" customHeight="false" outlineLevel="0" collapsed="false">
      <c r="A19" s="3" t="n">
        <v>16</v>
      </c>
      <c r="B19" s="3" t="s">
        <v>75</v>
      </c>
      <c r="C19" s="3" t="s">
        <v>28</v>
      </c>
      <c r="D19" s="8" t="s">
        <v>29</v>
      </c>
      <c r="E19" s="5" t="s">
        <v>84</v>
      </c>
      <c r="F19" s="6" t="s">
        <v>85</v>
      </c>
      <c r="G19" s="6" t="s">
        <v>86</v>
      </c>
      <c r="H19" s="3" t="s">
        <v>54</v>
      </c>
      <c r="I19" s="3" t="n">
        <v>5</v>
      </c>
      <c r="J19" s="6"/>
    </row>
    <row r="20" customFormat="false" ht="15" hidden="false" customHeight="false" outlineLevel="0" collapsed="false">
      <c r="A20" s="3" t="n">
        <v>17</v>
      </c>
      <c r="B20" s="3" t="s">
        <v>75</v>
      </c>
      <c r="C20" s="3" t="s">
        <v>28</v>
      </c>
      <c r="D20" s="8" t="s">
        <v>29</v>
      </c>
      <c r="E20" s="5" t="s">
        <v>87</v>
      </c>
      <c r="F20" s="6" t="s">
        <v>88</v>
      </c>
      <c r="G20" s="6" t="s">
        <v>89</v>
      </c>
      <c r="H20" s="3" t="s">
        <v>30</v>
      </c>
      <c r="I20" s="3" t="n">
        <v>4</v>
      </c>
      <c r="J20" s="6"/>
    </row>
    <row r="21" customFormat="false" ht="23.85" hidden="false" customHeight="false" outlineLevel="0" collapsed="false">
      <c r="A21" s="3" t="n">
        <v>18</v>
      </c>
      <c r="B21" s="3" t="s">
        <v>75</v>
      </c>
      <c r="C21" s="3" t="s">
        <v>38</v>
      </c>
      <c r="D21" s="9" t="s">
        <v>39</v>
      </c>
      <c r="E21" s="5" t="s">
        <v>90</v>
      </c>
      <c r="F21" s="6" t="s">
        <v>91</v>
      </c>
      <c r="G21" s="6" t="s">
        <v>92</v>
      </c>
      <c r="H21" s="3" t="s">
        <v>93</v>
      </c>
      <c r="I21" s="3" t="n">
        <v>3</v>
      </c>
      <c r="J21" s="6" t="s">
        <v>94</v>
      </c>
    </row>
    <row r="22" customFormat="false" ht="23.85" hidden="false" customHeight="false" outlineLevel="0" collapsed="false">
      <c r="A22" s="3" t="n">
        <v>19</v>
      </c>
      <c r="B22" s="3" t="s">
        <v>75</v>
      </c>
      <c r="C22" s="3" t="s">
        <v>38</v>
      </c>
      <c r="D22" s="9" t="s">
        <v>39</v>
      </c>
      <c r="E22" s="5" t="s">
        <v>95</v>
      </c>
      <c r="F22" s="6" t="s">
        <v>96</v>
      </c>
      <c r="G22" s="6" t="s">
        <v>97</v>
      </c>
      <c r="H22" s="3" t="s">
        <v>44</v>
      </c>
      <c r="I22" s="3" t="n">
        <v>4</v>
      </c>
      <c r="J22" s="6"/>
    </row>
    <row r="23" customFormat="false" ht="23.85" hidden="false" customHeight="false" outlineLevel="0" collapsed="false">
      <c r="A23" s="3" t="n">
        <v>20</v>
      </c>
      <c r="B23" s="3" t="s">
        <v>75</v>
      </c>
      <c r="C23" s="3" t="s">
        <v>38</v>
      </c>
      <c r="D23" s="9" t="s">
        <v>39</v>
      </c>
      <c r="E23" s="5" t="s">
        <v>98</v>
      </c>
      <c r="F23" s="6" t="s">
        <v>99</v>
      </c>
      <c r="G23" s="6" t="s">
        <v>100</v>
      </c>
      <c r="H23" s="3" t="s">
        <v>95</v>
      </c>
      <c r="I23" s="3" t="n">
        <v>4</v>
      </c>
      <c r="J23" s="6"/>
    </row>
    <row r="24" customFormat="false" ht="23.85" hidden="false" customHeight="false" outlineLevel="0" collapsed="false">
      <c r="A24" s="3" t="n">
        <v>21</v>
      </c>
      <c r="B24" s="3" t="s">
        <v>75</v>
      </c>
      <c r="C24" s="3" t="s">
        <v>60</v>
      </c>
      <c r="D24" s="11" t="s">
        <v>61</v>
      </c>
      <c r="E24" s="5" t="s">
        <v>101</v>
      </c>
      <c r="F24" s="6" t="s">
        <v>102</v>
      </c>
      <c r="G24" s="6" t="s">
        <v>103</v>
      </c>
      <c r="H24" s="3" t="s">
        <v>40</v>
      </c>
      <c r="I24" s="3" t="n">
        <v>3</v>
      </c>
      <c r="J24" s="6"/>
    </row>
    <row r="25" customFormat="false" ht="23.85" hidden="false" customHeight="false" outlineLevel="0" collapsed="false">
      <c r="A25" s="3" t="n">
        <v>22</v>
      </c>
      <c r="B25" s="3" t="s">
        <v>75</v>
      </c>
      <c r="C25" s="3" t="s">
        <v>104</v>
      </c>
      <c r="D25" s="13" t="s">
        <v>105</v>
      </c>
      <c r="E25" s="5" t="s">
        <v>106</v>
      </c>
      <c r="F25" s="6" t="s">
        <v>107</v>
      </c>
      <c r="G25" s="6" t="s">
        <v>108</v>
      </c>
      <c r="H25" s="3" t="s">
        <v>109</v>
      </c>
      <c r="I25" s="3" t="n">
        <v>5</v>
      </c>
      <c r="J25" s="6" t="s">
        <v>110</v>
      </c>
    </row>
    <row r="26" customFormat="false" ht="23.85" hidden="false" customHeight="false" outlineLevel="0" collapsed="false">
      <c r="A26" s="3" t="n">
        <v>23</v>
      </c>
      <c r="B26" s="3" t="s">
        <v>75</v>
      </c>
      <c r="C26" s="3" t="s">
        <v>104</v>
      </c>
      <c r="D26" s="13" t="s">
        <v>105</v>
      </c>
      <c r="E26" s="5" t="s">
        <v>111</v>
      </c>
      <c r="F26" s="6" t="s">
        <v>112</v>
      </c>
      <c r="G26" s="6" t="s">
        <v>113</v>
      </c>
      <c r="H26" s="3" t="s">
        <v>106</v>
      </c>
      <c r="I26" s="3" t="n">
        <v>6</v>
      </c>
      <c r="J26" s="6"/>
    </row>
    <row r="27" customFormat="false" ht="23.85" hidden="false" customHeight="false" outlineLevel="0" collapsed="false">
      <c r="A27" s="3" t="n">
        <v>24</v>
      </c>
      <c r="B27" s="3" t="s">
        <v>75</v>
      </c>
      <c r="C27" s="3" t="s">
        <v>104</v>
      </c>
      <c r="D27" s="13" t="s">
        <v>105</v>
      </c>
      <c r="E27" s="5" t="s">
        <v>114</v>
      </c>
      <c r="F27" s="6" t="s">
        <v>115</v>
      </c>
      <c r="G27" s="6" t="s">
        <v>116</v>
      </c>
      <c r="H27" s="3" t="s">
        <v>117</v>
      </c>
      <c r="I27" s="3" t="n">
        <v>6</v>
      </c>
      <c r="J27" s="6"/>
    </row>
    <row r="28" customFormat="false" ht="15" hidden="false" customHeight="false" outlineLevel="0" collapsed="false">
      <c r="A28" s="3" t="n">
        <v>25</v>
      </c>
      <c r="B28" s="3" t="s">
        <v>75</v>
      </c>
      <c r="C28" s="3" t="s">
        <v>104</v>
      </c>
      <c r="D28" s="13" t="s">
        <v>105</v>
      </c>
      <c r="E28" s="5" t="s">
        <v>118</v>
      </c>
      <c r="F28" s="6" t="s">
        <v>119</v>
      </c>
      <c r="G28" s="6" t="s">
        <v>120</v>
      </c>
      <c r="H28" s="3" t="s">
        <v>114</v>
      </c>
      <c r="I28" s="3" t="n">
        <v>4</v>
      </c>
      <c r="J28" s="6"/>
    </row>
    <row r="29" customFormat="false" ht="15" hidden="false" customHeight="false" outlineLevel="0" collapsed="false">
      <c r="A29" s="3" t="n">
        <v>26</v>
      </c>
      <c r="B29" s="3" t="s">
        <v>75</v>
      </c>
      <c r="C29" s="3" t="s">
        <v>12</v>
      </c>
      <c r="D29" s="4" t="s">
        <v>68</v>
      </c>
      <c r="E29" s="5" t="s">
        <v>121</v>
      </c>
      <c r="F29" s="6" t="s">
        <v>122</v>
      </c>
      <c r="G29" s="6" t="s">
        <v>123</v>
      </c>
      <c r="H29" s="3" t="s">
        <v>124</v>
      </c>
      <c r="I29" s="3" t="n">
        <v>6</v>
      </c>
      <c r="J29" s="6" t="s">
        <v>73</v>
      </c>
    </row>
    <row r="30" customFormat="false" ht="15" hidden="false" customHeight="false" outlineLevel="0" collapsed="false">
      <c r="G30" s="14" t="s">
        <v>125</v>
      </c>
      <c r="I30" s="5" t="n">
        <f aca="false">SUM(I3:I15)</f>
        <v>59</v>
      </c>
    </row>
    <row r="31" customFormat="false" ht="15" hidden="false" customHeight="false" outlineLevel="0" collapsed="false">
      <c r="G31" s="14" t="s">
        <v>126</v>
      </c>
      <c r="I31" s="5" t="n">
        <f aca="false">SUM(I17:I29)</f>
        <v>58</v>
      </c>
    </row>
    <row r="32" customFormat="false" ht="15" hidden="false" customHeight="false" outlineLevel="0" collapsed="false">
      <c r="G32" s="14" t="s">
        <v>127</v>
      </c>
      <c r="I32" s="15" t="n">
        <f aca="false">I30+I31</f>
        <v>117</v>
      </c>
    </row>
    <row r="34" customFormat="false" ht="54.75" hidden="false" customHeight="true" outlineLevel="0" collapsed="false">
      <c r="A34" s="16" t="s">
        <v>128</v>
      </c>
      <c r="B34" s="16"/>
      <c r="C34" s="16"/>
      <c r="D34" s="16"/>
      <c r="E34" s="16"/>
      <c r="F34" s="16"/>
      <c r="G34" s="16"/>
      <c r="H34" s="16"/>
      <c r="I34" s="16"/>
      <c r="J34" s="16"/>
    </row>
  </sheetData>
  <mergeCells count="3">
    <mergeCell ref="A2:J2"/>
    <mergeCell ref="A16:J16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7" width="7"/>
    <col collapsed="false" customWidth="true" hidden="false" outlineLevel="0" max="2" min="2" style="17" width="38"/>
    <col collapsed="false" customWidth="true" hidden="false" outlineLevel="0" max="3" min="3" style="17" width="14"/>
    <col collapsed="false" customWidth="true" hidden="false" outlineLevel="0" max="5" min="4" style="17" width="55"/>
  </cols>
  <sheetData>
    <row r="1" customFormat="false" ht="15" hidden="false" customHeight="true" outlineLevel="0" collapsed="false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customFormat="false" ht="15" hidden="false" customHeight="true" outlineLevel="0" collapsed="false">
      <c r="A2" s="18"/>
      <c r="B2" s="18" t="s">
        <v>134</v>
      </c>
      <c r="C2" s="18"/>
      <c r="D2" s="18"/>
      <c r="E2" s="18"/>
    </row>
    <row r="3" customFormat="false" ht="79.5" hidden="false" customHeight="true" outlineLevel="0" collapsed="false">
      <c r="A3" s="3" t="s">
        <v>135</v>
      </c>
      <c r="B3" s="6" t="s">
        <v>136</v>
      </c>
      <c r="C3" s="19" t="s">
        <v>137</v>
      </c>
      <c r="D3" s="6" t="s">
        <v>138</v>
      </c>
      <c r="E3" s="6" t="s">
        <v>139</v>
      </c>
    </row>
    <row r="4" customFormat="false" ht="15" hidden="false" customHeight="true" outlineLevel="0" collapsed="false">
      <c r="A4" s="18"/>
      <c r="B4" s="18" t="s">
        <v>140</v>
      </c>
      <c r="C4" s="18"/>
      <c r="D4" s="18"/>
      <c r="E4" s="18"/>
    </row>
    <row r="5" customFormat="false" ht="57" hidden="false" customHeight="true" outlineLevel="0" collapsed="false">
      <c r="A5" s="3" t="s">
        <v>141</v>
      </c>
      <c r="B5" s="6" t="s">
        <v>142</v>
      </c>
      <c r="C5" s="20" t="s">
        <v>143</v>
      </c>
      <c r="D5" s="6" t="s">
        <v>144</v>
      </c>
      <c r="E5" s="6" t="s">
        <v>145</v>
      </c>
    </row>
    <row r="6" customFormat="false" ht="34.5" hidden="false" customHeight="true" outlineLevel="0" collapsed="false">
      <c r="A6" s="3" t="s">
        <v>146</v>
      </c>
      <c r="B6" s="6" t="s">
        <v>147</v>
      </c>
      <c r="C6" s="20" t="s">
        <v>143</v>
      </c>
      <c r="D6" s="6" t="s">
        <v>148</v>
      </c>
      <c r="E6" s="6" t="s">
        <v>149</v>
      </c>
    </row>
    <row r="7" customFormat="false" ht="34.5" hidden="false" customHeight="true" outlineLevel="0" collapsed="false">
      <c r="A7" s="3" t="s">
        <v>150</v>
      </c>
      <c r="B7" s="6" t="s">
        <v>151</v>
      </c>
      <c r="C7" s="21" t="s">
        <v>152</v>
      </c>
      <c r="D7" s="6" t="s">
        <v>153</v>
      </c>
      <c r="E7" s="6" t="s">
        <v>154</v>
      </c>
    </row>
    <row r="8" customFormat="false" ht="45.75" hidden="false" customHeight="true" outlineLevel="0" collapsed="false">
      <c r="A8" s="3" t="s">
        <v>155</v>
      </c>
      <c r="B8" s="6" t="s">
        <v>156</v>
      </c>
      <c r="C8" s="20" t="s">
        <v>143</v>
      </c>
      <c r="D8" s="6" t="s">
        <v>157</v>
      </c>
      <c r="E8" s="6" t="s">
        <v>158</v>
      </c>
    </row>
    <row r="9" customFormat="false" ht="15" hidden="false" customHeight="true" outlineLevel="0" collapsed="false">
      <c r="A9" s="18"/>
      <c r="B9" s="18" t="s">
        <v>159</v>
      </c>
      <c r="C9" s="18"/>
      <c r="D9" s="18"/>
      <c r="E9" s="18"/>
    </row>
    <row r="10" customFormat="false" ht="45.75" hidden="false" customHeight="true" outlineLevel="0" collapsed="false">
      <c r="A10" s="3" t="s">
        <v>160</v>
      </c>
      <c r="B10" s="6" t="s">
        <v>161</v>
      </c>
      <c r="C10" s="20" t="s">
        <v>143</v>
      </c>
      <c r="D10" s="6" t="s">
        <v>162</v>
      </c>
      <c r="E10" s="6" t="s">
        <v>163</v>
      </c>
    </row>
    <row r="11" customFormat="false" ht="23.25" hidden="false" customHeight="true" outlineLevel="0" collapsed="false">
      <c r="A11" s="3" t="s">
        <v>164</v>
      </c>
      <c r="B11" s="6" t="s">
        <v>165</v>
      </c>
      <c r="C11" s="20" t="s">
        <v>143</v>
      </c>
      <c r="D11" s="6" t="s">
        <v>166</v>
      </c>
      <c r="E11" s="6" t="s">
        <v>167</v>
      </c>
    </row>
    <row r="12" customFormat="false" ht="34.5" hidden="false" customHeight="true" outlineLevel="0" collapsed="false">
      <c r="A12" s="3" t="s">
        <v>168</v>
      </c>
      <c r="B12" s="6" t="s">
        <v>169</v>
      </c>
      <c r="C12" s="20" t="s">
        <v>143</v>
      </c>
      <c r="D12" s="6" t="s">
        <v>170</v>
      </c>
      <c r="E12" s="6" t="s">
        <v>171</v>
      </c>
    </row>
    <row r="13" customFormat="false" ht="23.25" hidden="false" customHeight="true" outlineLevel="0" collapsed="false">
      <c r="A13" s="3" t="s">
        <v>172</v>
      </c>
      <c r="B13" s="6" t="s">
        <v>173</v>
      </c>
      <c r="C13" s="20" t="s">
        <v>143</v>
      </c>
      <c r="D13" s="6" t="s">
        <v>166</v>
      </c>
      <c r="E13" s="6" t="s">
        <v>174</v>
      </c>
    </row>
    <row r="14" customFormat="false" ht="15" hidden="false" customHeight="true" outlineLevel="0" collapsed="false">
      <c r="A14" s="18"/>
      <c r="B14" s="18" t="s">
        <v>175</v>
      </c>
      <c r="C14" s="18"/>
      <c r="D14" s="18"/>
      <c r="E14" s="18"/>
    </row>
    <row r="15" customFormat="false" ht="45.75" hidden="false" customHeight="true" outlineLevel="0" collapsed="false">
      <c r="A15" s="3" t="s">
        <v>176</v>
      </c>
      <c r="B15" s="6" t="s">
        <v>177</v>
      </c>
      <c r="C15" s="21" t="s">
        <v>152</v>
      </c>
      <c r="D15" s="6" t="s">
        <v>178</v>
      </c>
      <c r="E15" s="6" t="s">
        <v>179</v>
      </c>
    </row>
    <row r="16" customFormat="false" ht="34.5" hidden="false" customHeight="true" outlineLevel="0" collapsed="false">
      <c r="A16" s="3" t="s">
        <v>180</v>
      </c>
      <c r="B16" s="6" t="s">
        <v>181</v>
      </c>
      <c r="C16" s="21" t="s">
        <v>152</v>
      </c>
      <c r="D16" s="6" t="s">
        <v>182</v>
      </c>
      <c r="E16" s="6" t="s">
        <v>183</v>
      </c>
    </row>
    <row r="17" customFormat="false" ht="34.5" hidden="false" customHeight="true" outlineLevel="0" collapsed="false">
      <c r="A17" s="3" t="s">
        <v>184</v>
      </c>
      <c r="B17" s="6" t="s">
        <v>185</v>
      </c>
      <c r="C17" s="20" t="s">
        <v>143</v>
      </c>
      <c r="D17" s="6" t="s">
        <v>186</v>
      </c>
      <c r="E17" s="6" t="s">
        <v>187</v>
      </c>
    </row>
    <row r="18" customFormat="false" ht="23.25" hidden="false" customHeight="true" outlineLevel="0" collapsed="false">
      <c r="A18" s="3" t="s">
        <v>188</v>
      </c>
      <c r="B18" s="6" t="s">
        <v>189</v>
      </c>
      <c r="C18" s="21" t="s">
        <v>152</v>
      </c>
      <c r="D18" s="6" t="s">
        <v>190</v>
      </c>
      <c r="E18" s="6" t="s">
        <v>191</v>
      </c>
    </row>
    <row r="19" customFormat="false" ht="34.5" hidden="false" customHeight="true" outlineLevel="0" collapsed="false">
      <c r="A19" s="3" t="s">
        <v>192</v>
      </c>
      <c r="B19" s="6" t="s">
        <v>193</v>
      </c>
      <c r="C19" s="20" t="s">
        <v>143</v>
      </c>
      <c r="D19" s="6" t="s">
        <v>194</v>
      </c>
      <c r="E19" s="6" t="s">
        <v>195</v>
      </c>
    </row>
    <row r="20" customFormat="false" ht="15" hidden="false" customHeight="true" outlineLevel="0" collapsed="false">
      <c r="A20" s="18"/>
      <c r="B20" s="18" t="s">
        <v>196</v>
      </c>
      <c r="C20" s="18"/>
      <c r="D20" s="18"/>
      <c r="E20" s="18"/>
    </row>
    <row r="21" customFormat="false" ht="90.75" hidden="false" customHeight="true" outlineLevel="0" collapsed="false">
      <c r="A21" s="3" t="s">
        <v>197</v>
      </c>
      <c r="B21" s="6" t="s">
        <v>198</v>
      </c>
      <c r="C21" s="21" t="s">
        <v>152</v>
      </c>
      <c r="D21" s="6" t="s">
        <v>199</v>
      </c>
      <c r="E21" s="6" t="s">
        <v>200</v>
      </c>
    </row>
    <row r="22" customFormat="false" ht="34.5" hidden="false" customHeight="true" outlineLevel="0" collapsed="false">
      <c r="A22" s="3" t="s">
        <v>201</v>
      </c>
      <c r="B22" s="6" t="s">
        <v>202</v>
      </c>
      <c r="C22" s="19" t="s">
        <v>137</v>
      </c>
      <c r="D22" s="6" t="s">
        <v>203</v>
      </c>
      <c r="E22" s="6" t="s">
        <v>204</v>
      </c>
    </row>
    <row r="23" customFormat="false" ht="34.5" hidden="false" customHeight="true" outlineLevel="0" collapsed="false">
      <c r="A23" s="3" t="s">
        <v>205</v>
      </c>
      <c r="B23" s="6" t="s">
        <v>206</v>
      </c>
      <c r="C23" s="21" t="s">
        <v>152</v>
      </c>
      <c r="D23" s="6" t="s">
        <v>207</v>
      </c>
      <c r="E23" s="6" t="s">
        <v>208</v>
      </c>
    </row>
    <row r="24" customFormat="false" ht="34.5" hidden="false" customHeight="true" outlineLevel="0" collapsed="false">
      <c r="A24" s="3" t="s">
        <v>209</v>
      </c>
      <c r="B24" s="6" t="s">
        <v>210</v>
      </c>
      <c r="C24" s="20" t="s">
        <v>143</v>
      </c>
      <c r="D24" s="6" t="s">
        <v>211</v>
      </c>
      <c r="E24" s="6" t="s">
        <v>212</v>
      </c>
    </row>
    <row r="25" customFormat="false" ht="34.5" hidden="false" customHeight="true" outlineLevel="0" collapsed="false">
      <c r="A25" s="3" t="s">
        <v>213</v>
      </c>
      <c r="B25" s="6" t="s">
        <v>214</v>
      </c>
      <c r="C25" s="21" t="s">
        <v>152</v>
      </c>
      <c r="D25" s="6" t="s">
        <v>215</v>
      </c>
      <c r="E25" s="6" t="s">
        <v>216</v>
      </c>
    </row>
    <row r="26" customFormat="false" ht="15" hidden="false" customHeight="true" outlineLevel="0" collapsed="false">
      <c r="A26" s="18"/>
      <c r="B26" s="18" t="s">
        <v>217</v>
      </c>
      <c r="C26" s="18"/>
      <c r="D26" s="18"/>
      <c r="E26" s="18"/>
    </row>
    <row r="27" customFormat="false" ht="57" hidden="false" customHeight="true" outlineLevel="0" collapsed="false">
      <c r="A27" s="3" t="s">
        <v>218</v>
      </c>
      <c r="B27" s="6" t="s">
        <v>219</v>
      </c>
      <c r="C27" s="21" t="s">
        <v>152</v>
      </c>
      <c r="D27" s="6" t="s">
        <v>220</v>
      </c>
      <c r="E27" s="6" t="s">
        <v>221</v>
      </c>
    </row>
    <row r="28" customFormat="false" ht="34.5" hidden="false" customHeight="true" outlineLevel="0" collapsed="false">
      <c r="A28" s="3" t="s">
        <v>222</v>
      </c>
      <c r="B28" s="6" t="s">
        <v>223</v>
      </c>
      <c r="C28" s="20" t="s">
        <v>143</v>
      </c>
      <c r="D28" s="6" t="s">
        <v>224</v>
      </c>
      <c r="E28" s="6" t="s">
        <v>225</v>
      </c>
    </row>
    <row r="29" customFormat="false" ht="34.5" hidden="false" customHeight="true" outlineLevel="0" collapsed="false">
      <c r="A29" s="3" t="s">
        <v>226</v>
      </c>
      <c r="B29" s="6" t="s">
        <v>227</v>
      </c>
      <c r="C29" s="19" t="s">
        <v>137</v>
      </c>
      <c r="D29" s="6" t="s">
        <v>228</v>
      </c>
      <c r="E29" s="6" t="s">
        <v>229</v>
      </c>
    </row>
    <row r="30" customFormat="false" ht="45.75" hidden="false" customHeight="true" outlineLevel="0" collapsed="false">
      <c r="A30" s="3" t="s">
        <v>230</v>
      </c>
      <c r="B30" s="6" t="s">
        <v>231</v>
      </c>
      <c r="C30" s="21" t="s">
        <v>152</v>
      </c>
      <c r="D30" s="6" t="s">
        <v>232</v>
      </c>
      <c r="E30" s="6" t="s">
        <v>233</v>
      </c>
    </row>
    <row r="31" customFormat="false" ht="15" hidden="false" customHeight="true" outlineLevel="0" collapsed="false">
      <c r="A31" s="18"/>
      <c r="B31" s="18" t="s">
        <v>234</v>
      </c>
      <c r="C31" s="18"/>
      <c r="D31" s="18"/>
      <c r="E31" s="18"/>
    </row>
    <row r="32" customFormat="false" ht="45.75" hidden="false" customHeight="true" outlineLevel="0" collapsed="false">
      <c r="A32" s="3" t="s">
        <v>235</v>
      </c>
      <c r="B32" s="6" t="s">
        <v>236</v>
      </c>
      <c r="C32" s="21" t="s">
        <v>152</v>
      </c>
      <c r="D32" s="6" t="s">
        <v>237</v>
      </c>
      <c r="E32" s="6" t="s">
        <v>238</v>
      </c>
    </row>
    <row r="33" customFormat="false" ht="23.25" hidden="false" customHeight="true" outlineLevel="0" collapsed="false">
      <c r="A33" s="3" t="s">
        <v>239</v>
      </c>
      <c r="B33" s="6" t="s">
        <v>240</v>
      </c>
      <c r="C33" s="20" t="s">
        <v>143</v>
      </c>
      <c r="D33" s="6" t="s">
        <v>241</v>
      </c>
      <c r="E33" s="6" t="s">
        <v>242</v>
      </c>
    </row>
    <row r="34" customFormat="false" ht="15" hidden="false" customHeight="true" outlineLevel="0" collapsed="false">
      <c r="A34" s="3" t="s">
        <v>243</v>
      </c>
      <c r="B34" s="6" t="s">
        <v>244</v>
      </c>
      <c r="C34" s="20" t="s">
        <v>143</v>
      </c>
      <c r="D34" s="6" t="s">
        <v>245</v>
      </c>
      <c r="E34" s="6" t="s">
        <v>246</v>
      </c>
    </row>
    <row r="35" customFormat="false" ht="23.25" hidden="false" customHeight="true" outlineLevel="0" collapsed="false">
      <c r="A35" s="3" t="s">
        <v>247</v>
      </c>
      <c r="B35" s="6" t="s">
        <v>248</v>
      </c>
      <c r="C35" s="20" t="s">
        <v>143</v>
      </c>
      <c r="D35" s="6" t="s">
        <v>166</v>
      </c>
      <c r="E35" s="6" t="s">
        <v>249</v>
      </c>
    </row>
    <row r="37" customFormat="false" ht="15" hidden="false" customHeight="true" outlineLevel="0" collapsed="false">
      <c r="B37" s="16" t="s">
        <v>250</v>
      </c>
      <c r="C37" s="16"/>
      <c r="D37" s="16"/>
      <c r="E37" s="16"/>
    </row>
  </sheetData>
  <mergeCells count="8">
    <mergeCell ref="B2:E2"/>
    <mergeCell ref="B4:E4"/>
    <mergeCell ref="B9:E9"/>
    <mergeCell ref="B14:E14"/>
    <mergeCell ref="B20:E20"/>
    <mergeCell ref="B26:E26"/>
    <mergeCell ref="B31:E31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7" width="7"/>
    <col collapsed="false" customWidth="true" hidden="false" outlineLevel="0" max="2" min="2" style="17" width="26"/>
    <col collapsed="false" customWidth="true" hidden="false" outlineLevel="0" max="3" min="3" style="17" width="10"/>
    <col collapsed="false" customWidth="true" hidden="false" outlineLevel="0" max="4" min="4" style="17" width="30"/>
    <col collapsed="false" customWidth="true" hidden="false" outlineLevel="0" max="5" min="5" style="17" width="60"/>
    <col collapsed="false" customWidth="true" hidden="false" outlineLevel="0" max="6" min="6" style="17" width="40"/>
    <col collapsed="false" customWidth="true" hidden="false" outlineLevel="0" max="7" min="7" style="17" width="14"/>
    <col collapsed="false" customWidth="true" hidden="false" outlineLevel="0" max="9" min="8" style="17" width="11"/>
  </cols>
  <sheetData>
    <row r="1" customFormat="false" ht="23.25" hidden="false" customHeight="true" outlineLevel="0" collapsed="false">
      <c r="A1" s="1" t="s">
        <v>129</v>
      </c>
      <c r="B1" s="1" t="s">
        <v>3</v>
      </c>
      <c r="C1" s="1" t="s">
        <v>4</v>
      </c>
      <c r="D1" s="1" t="s">
        <v>5</v>
      </c>
      <c r="E1" s="1" t="s">
        <v>251</v>
      </c>
      <c r="F1" s="1" t="s">
        <v>252</v>
      </c>
      <c r="G1" s="1" t="s">
        <v>7</v>
      </c>
      <c r="H1" s="1" t="s">
        <v>8</v>
      </c>
      <c r="I1" s="1" t="s">
        <v>253</v>
      </c>
    </row>
    <row r="2" customFormat="false" ht="34.5" hidden="false" customHeight="true" outlineLevel="0" collapsed="false">
      <c r="A2" s="22" t="s">
        <v>254</v>
      </c>
      <c r="B2" s="23" t="s">
        <v>13</v>
      </c>
      <c r="C2" s="24" t="s">
        <v>14</v>
      </c>
      <c r="D2" s="23" t="s">
        <v>15</v>
      </c>
      <c r="E2" s="23" t="s">
        <v>255</v>
      </c>
      <c r="F2" s="23" t="s">
        <v>256</v>
      </c>
      <c r="G2" s="23" t="s">
        <v>17</v>
      </c>
      <c r="H2" s="22" t="n">
        <v>4</v>
      </c>
      <c r="I2" s="22" t="s">
        <v>257</v>
      </c>
    </row>
    <row r="3" customFormat="false" ht="23.25" hidden="false" customHeight="true" outlineLevel="0" collapsed="false">
      <c r="A3" s="22" t="s">
        <v>258</v>
      </c>
      <c r="B3" s="23" t="s">
        <v>49</v>
      </c>
      <c r="C3" s="24" t="s">
        <v>50</v>
      </c>
      <c r="D3" s="23" t="s">
        <v>259</v>
      </c>
      <c r="E3" s="23" t="s">
        <v>260</v>
      </c>
      <c r="F3" s="23" t="s">
        <v>261</v>
      </c>
      <c r="G3" s="23" t="s">
        <v>14</v>
      </c>
      <c r="H3" s="22" t="n">
        <v>4</v>
      </c>
      <c r="I3" s="22" t="s">
        <v>262</v>
      </c>
    </row>
    <row r="4" customFormat="false" ht="23.25" hidden="false" customHeight="true" outlineLevel="0" collapsed="false">
      <c r="A4" s="3" t="s">
        <v>258</v>
      </c>
      <c r="B4" s="6" t="s">
        <v>49</v>
      </c>
      <c r="C4" s="5" t="s">
        <v>54</v>
      </c>
      <c r="D4" s="6" t="s">
        <v>55</v>
      </c>
      <c r="E4" s="6" t="s">
        <v>263</v>
      </c>
      <c r="F4" s="6" t="s">
        <v>264</v>
      </c>
      <c r="G4" s="6" t="s">
        <v>50</v>
      </c>
      <c r="H4" s="3" t="n">
        <v>5</v>
      </c>
      <c r="I4" s="3" t="s">
        <v>265</v>
      </c>
    </row>
    <row r="5" customFormat="false" ht="34.5" hidden="false" customHeight="true" outlineLevel="0" collapsed="false">
      <c r="A5" s="3" t="s">
        <v>258</v>
      </c>
      <c r="B5" s="6" t="s">
        <v>49</v>
      </c>
      <c r="C5" s="5" t="s">
        <v>57</v>
      </c>
      <c r="D5" s="6" t="s">
        <v>58</v>
      </c>
      <c r="E5" s="6" t="s">
        <v>266</v>
      </c>
      <c r="F5" s="6" t="s">
        <v>267</v>
      </c>
      <c r="G5" s="6" t="s">
        <v>54</v>
      </c>
      <c r="H5" s="3" t="n">
        <v>5</v>
      </c>
      <c r="I5" s="3" t="s">
        <v>268</v>
      </c>
    </row>
    <row r="6" customFormat="false" ht="23.25" hidden="false" customHeight="true" outlineLevel="0" collapsed="false">
      <c r="A6" s="3" t="s">
        <v>258</v>
      </c>
      <c r="B6" s="6" t="s">
        <v>49</v>
      </c>
      <c r="C6" s="5" t="s">
        <v>65</v>
      </c>
      <c r="D6" s="6" t="s">
        <v>66</v>
      </c>
      <c r="E6" s="6" t="s">
        <v>269</v>
      </c>
      <c r="F6" s="6" t="s">
        <v>270</v>
      </c>
      <c r="G6" s="6" t="s">
        <v>57</v>
      </c>
      <c r="H6" s="3" t="n">
        <v>3</v>
      </c>
      <c r="I6" s="3" t="s">
        <v>271</v>
      </c>
    </row>
    <row r="7" customFormat="false" ht="34.5" hidden="false" customHeight="true" outlineLevel="0" collapsed="false">
      <c r="A7" s="3" t="s">
        <v>258</v>
      </c>
      <c r="B7" s="6" t="s">
        <v>49</v>
      </c>
      <c r="C7" s="5" t="s">
        <v>80</v>
      </c>
      <c r="D7" s="6" t="s">
        <v>81</v>
      </c>
      <c r="E7" s="6" t="s">
        <v>272</v>
      </c>
      <c r="F7" s="6" t="s">
        <v>273</v>
      </c>
      <c r="G7" s="6" t="s">
        <v>57</v>
      </c>
      <c r="H7" s="3" t="n">
        <v>4</v>
      </c>
      <c r="I7" s="3" t="s">
        <v>274</v>
      </c>
    </row>
    <row r="8" customFormat="false" ht="34.5" hidden="false" customHeight="true" outlineLevel="0" collapsed="false">
      <c r="A8" s="22" t="s">
        <v>275</v>
      </c>
      <c r="B8" s="23" t="s">
        <v>276</v>
      </c>
      <c r="C8" s="24" t="s">
        <v>106</v>
      </c>
      <c r="D8" s="23" t="s">
        <v>107</v>
      </c>
      <c r="E8" s="23" t="s">
        <v>277</v>
      </c>
      <c r="F8" s="23" t="s">
        <v>17</v>
      </c>
      <c r="G8" s="23" t="s">
        <v>109</v>
      </c>
      <c r="H8" s="22" t="n">
        <v>5</v>
      </c>
      <c r="I8" s="22" t="s">
        <v>268</v>
      </c>
    </row>
    <row r="9" customFormat="false" ht="23.25" hidden="false" customHeight="true" outlineLevel="0" collapsed="false">
      <c r="A9" s="3" t="s">
        <v>275</v>
      </c>
      <c r="B9" s="6" t="s">
        <v>276</v>
      </c>
      <c r="C9" s="5" t="s">
        <v>111</v>
      </c>
      <c r="D9" s="6" t="s">
        <v>112</v>
      </c>
      <c r="E9" s="6" t="s">
        <v>278</v>
      </c>
      <c r="F9" s="6" t="s">
        <v>279</v>
      </c>
      <c r="G9" s="6" t="s">
        <v>106</v>
      </c>
      <c r="H9" s="3" t="n">
        <v>6</v>
      </c>
      <c r="I9" s="3" t="s">
        <v>280</v>
      </c>
    </row>
    <row r="10" customFormat="false" ht="23.25" hidden="false" customHeight="true" outlineLevel="0" collapsed="false">
      <c r="A10" s="3" t="s">
        <v>275</v>
      </c>
      <c r="B10" s="6" t="s">
        <v>276</v>
      </c>
      <c r="C10" s="5" t="s">
        <v>114</v>
      </c>
      <c r="D10" s="6" t="s">
        <v>115</v>
      </c>
      <c r="E10" s="6" t="s">
        <v>281</v>
      </c>
      <c r="F10" s="6" t="s">
        <v>282</v>
      </c>
      <c r="G10" s="6" t="s">
        <v>117</v>
      </c>
      <c r="H10" s="3" t="n">
        <v>6</v>
      </c>
      <c r="I10" s="3" t="s">
        <v>283</v>
      </c>
    </row>
    <row r="11" customFormat="false" ht="23.25" hidden="false" customHeight="true" outlineLevel="0" collapsed="false">
      <c r="A11" s="3" t="s">
        <v>275</v>
      </c>
      <c r="B11" s="6" t="s">
        <v>276</v>
      </c>
      <c r="C11" s="5" t="s">
        <v>118</v>
      </c>
      <c r="D11" s="6" t="s">
        <v>119</v>
      </c>
      <c r="E11" s="6" t="s">
        <v>284</v>
      </c>
      <c r="F11" s="6" t="s">
        <v>285</v>
      </c>
      <c r="G11" s="6" t="s">
        <v>114</v>
      </c>
      <c r="H11" s="3" t="n">
        <v>4</v>
      </c>
      <c r="I11" s="3" t="s">
        <v>286</v>
      </c>
    </row>
    <row r="12" customFormat="false" ht="34.5" hidden="false" customHeight="true" outlineLevel="0" collapsed="false">
      <c r="A12" s="22" t="s">
        <v>287</v>
      </c>
      <c r="B12" s="23" t="s">
        <v>288</v>
      </c>
      <c r="C12" s="24" t="s">
        <v>40</v>
      </c>
      <c r="D12" s="23" t="s">
        <v>41</v>
      </c>
      <c r="E12" s="23" t="s">
        <v>289</v>
      </c>
      <c r="F12" s="23" t="s">
        <v>290</v>
      </c>
      <c r="G12" s="23" t="s">
        <v>291</v>
      </c>
      <c r="H12" s="22" t="n">
        <v>6</v>
      </c>
      <c r="I12" s="22" t="s">
        <v>292</v>
      </c>
    </row>
    <row r="13" customFormat="false" ht="23.25" hidden="false" customHeight="true" outlineLevel="0" collapsed="false">
      <c r="A13" s="3" t="s">
        <v>287</v>
      </c>
      <c r="B13" s="6" t="s">
        <v>288</v>
      </c>
      <c r="C13" s="5" t="s">
        <v>293</v>
      </c>
      <c r="D13" s="6" t="s">
        <v>294</v>
      </c>
      <c r="E13" s="6" t="s">
        <v>295</v>
      </c>
      <c r="F13" s="6" t="s">
        <v>296</v>
      </c>
      <c r="G13" s="6" t="s">
        <v>297</v>
      </c>
      <c r="H13" s="3" t="n">
        <v>8</v>
      </c>
      <c r="I13" s="3" t="s">
        <v>298</v>
      </c>
    </row>
    <row r="14" customFormat="false" ht="23.25" hidden="false" customHeight="true" outlineLevel="0" collapsed="false">
      <c r="A14" s="3" t="s">
        <v>287</v>
      </c>
      <c r="B14" s="6" t="s">
        <v>288</v>
      </c>
      <c r="C14" s="5" t="s">
        <v>95</v>
      </c>
      <c r="D14" s="6" t="s">
        <v>96</v>
      </c>
      <c r="E14" s="6" t="s">
        <v>299</v>
      </c>
      <c r="F14" s="6" t="s">
        <v>300</v>
      </c>
      <c r="G14" s="6" t="s">
        <v>293</v>
      </c>
      <c r="H14" s="3" t="n">
        <v>4</v>
      </c>
      <c r="I14" s="3" t="s">
        <v>301</v>
      </c>
    </row>
    <row r="15" customFormat="false" ht="23.25" hidden="false" customHeight="true" outlineLevel="0" collapsed="false">
      <c r="A15" s="3" t="s">
        <v>287</v>
      </c>
      <c r="B15" s="6" t="s">
        <v>288</v>
      </c>
      <c r="C15" s="5" t="s">
        <v>98</v>
      </c>
      <c r="D15" s="6" t="s">
        <v>99</v>
      </c>
      <c r="E15" s="6" t="s">
        <v>302</v>
      </c>
      <c r="F15" s="6" t="s">
        <v>303</v>
      </c>
      <c r="G15" s="6" t="s">
        <v>95</v>
      </c>
      <c r="H15" s="3" t="n">
        <v>4</v>
      </c>
      <c r="I15" s="3" t="s">
        <v>304</v>
      </c>
    </row>
    <row r="16" customFormat="false" ht="23.25" hidden="false" customHeight="true" outlineLevel="0" collapsed="false">
      <c r="A16" s="22" t="s">
        <v>305</v>
      </c>
      <c r="B16" s="23" t="s">
        <v>29</v>
      </c>
      <c r="C16" s="24" t="s">
        <v>30</v>
      </c>
      <c r="D16" s="23" t="s">
        <v>306</v>
      </c>
      <c r="E16" s="23" t="s">
        <v>307</v>
      </c>
      <c r="F16" s="23" t="s">
        <v>308</v>
      </c>
      <c r="G16" s="23" t="s">
        <v>14</v>
      </c>
      <c r="H16" s="22" t="n">
        <v>6</v>
      </c>
      <c r="I16" s="22" t="s">
        <v>280</v>
      </c>
    </row>
    <row r="17" customFormat="false" ht="23.25" hidden="false" customHeight="true" outlineLevel="0" collapsed="false">
      <c r="A17" s="3" t="s">
        <v>305</v>
      </c>
      <c r="B17" s="6" t="s">
        <v>29</v>
      </c>
      <c r="C17" s="5" t="s">
        <v>84</v>
      </c>
      <c r="D17" s="6" t="s">
        <v>85</v>
      </c>
      <c r="E17" s="6" t="s">
        <v>309</v>
      </c>
      <c r="F17" s="6" t="s">
        <v>310</v>
      </c>
      <c r="G17" s="6" t="s">
        <v>54</v>
      </c>
      <c r="H17" s="3" t="n">
        <v>5</v>
      </c>
      <c r="I17" s="3" t="s">
        <v>274</v>
      </c>
    </row>
    <row r="18" customFormat="false" ht="23.25" hidden="false" customHeight="true" outlineLevel="0" collapsed="false">
      <c r="A18" s="3" t="s">
        <v>305</v>
      </c>
      <c r="B18" s="6" t="s">
        <v>29</v>
      </c>
      <c r="C18" s="5" t="s">
        <v>34</v>
      </c>
      <c r="D18" s="6" t="s">
        <v>35</v>
      </c>
      <c r="E18" s="6" t="s">
        <v>311</v>
      </c>
      <c r="F18" s="6" t="s">
        <v>312</v>
      </c>
      <c r="G18" s="6" t="s">
        <v>84</v>
      </c>
      <c r="H18" s="3" t="n">
        <v>5</v>
      </c>
      <c r="I18" s="3" t="s">
        <v>283</v>
      </c>
    </row>
    <row r="19" customFormat="false" ht="23.25" hidden="false" customHeight="true" outlineLevel="0" collapsed="false">
      <c r="A19" s="3" t="s">
        <v>305</v>
      </c>
      <c r="B19" s="6" t="s">
        <v>29</v>
      </c>
      <c r="C19" s="5" t="s">
        <v>87</v>
      </c>
      <c r="D19" s="6" t="s">
        <v>88</v>
      </c>
      <c r="E19" s="6" t="s">
        <v>313</v>
      </c>
      <c r="F19" s="6" t="s">
        <v>314</v>
      </c>
      <c r="G19" s="6" t="s">
        <v>30</v>
      </c>
      <c r="H19" s="3" t="n">
        <v>4</v>
      </c>
      <c r="I19" s="3" t="s">
        <v>286</v>
      </c>
    </row>
    <row r="20" customFormat="false" ht="23.25" hidden="false" customHeight="true" outlineLevel="0" collapsed="false">
      <c r="A20" s="22" t="s">
        <v>315</v>
      </c>
      <c r="B20" s="23" t="s">
        <v>20</v>
      </c>
      <c r="C20" s="24" t="s">
        <v>24</v>
      </c>
      <c r="D20" s="23" t="s">
        <v>25</v>
      </c>
      <c r="E20" s="23" t="s">
        <v>316</v>
      </c>
      <c r="F20" s="23" t="s">
        <v>317</v>
      </c>
      <c r="G20" s="23" t="s">
        <v>50</v>
      </c>
      <c r="H20" s="22" t="n">
        <v>3</v>
      </c>
      <c r="I20" s="22" t="s">
        <v>265</v>
      </c>
    </row>
    <row r="21" customFormat="false" ht="23.25" hidden="false" customHeight="true" outlineLevel="0" collapsed="false">
      <c r="A21" s="3" t="s">
        <v>315</v>
      </c>
      <c r="B21" s="6" t="s">
        <v>20</v>
      </c>
      <c r="C21" s="5" t="s">
        <v>21</v>
      </c>
      <c r="D21" s="6" t="s">
        <v>22</v>
      </c>
      <c r="E21" s="6" t="s">
        <v>23</v>
      </c>
      <c r="F21" s="6" t="s">
        <v>318</v>
      </c>
      <c r="G21" s="6" t="s">
        <v>14</v>
      </c>
      <c r="H21" s="3" t="n">
        <v>5</v>
      </c>
      <c r="I21" s="3" t="s">
        <v>280</v>
      </c>
    </row>
    <row r="22" customFormat="false" ht="15" hidden="false" customHeight="true" outlineLevel="0" collapsed="false">
      <c r="A22" s="3" t="s">
        <v>315</v>
      </c>
      <c r="B22" s="6" t="s">
        <v>20</v>
      </c>
      <c r="C22" s="5" t="s">
        <v>76</v>
      </c>
      <c r="D22" s="6" t="s">
        <v>77</v>
      </c>
      <c r="E22" s="6" t="s">
        <v>319</v>
      </c>
      <c r="F22" s="6" t="s">
        <v>320</v>
      </c>
      <c r="G22" s="6" t="s">
        <v>79</v>
      </c>
      <c r="H22" s="3" t="n">
        <v>4</v>
      </c>
      <c r="I22" s="3" t="s">
        <v>321</v>
      </c>
    </row>
    <row r="23" customFormat="false" ht="15" hidden="false" customHeight="true" outlineLevel="0" collapsed="false">
      <c r="A23" s="22" t="s">
        <v>322</v>
      </c>
      <c r="B23" s="23" t="s">
        <v>61</v>
      </c>
      <c r="C23" s="24" t="s">
        <v>62</v>
      </c>
      <c r="D23" s="23" t="s">
        <v>63</v>
      </c>
      <c r="E23" s="23" t="s">
        <v>64</v>
      </c>
      <c r="F23" s="23" t="s">
        <v>323</v>
      </c>
      <c r="G23" s="23" t="s">
        <v>54</v>
      </c>
      <c r="H23" s="22" t="n">
        <v>4</v>
      </c>
      <c r="I23" s="22" t="s">
        <v>268</v>
      </c>
    </row>
    <row r="24" customFormat="false" ht="23.25" hidden="false" customHeight="true" outlineLevel="0" collapsed="false">
      <c r="A24" s="3" t="s">
        <v>322</v>
      </c>
      <c r="B24" s="6" t="s">
        <v>61</v>
      </c>
      <c r="C24" s="5" t="s">
        <v>101</v>
      </c>
      <c r="D24" s="6" t="s">
        <v>102</v>
      </c>
      <c r="E24" s="6" t="s">
        <v>324</v>
      </c>
      <c r="F24" s="6" t="s">
        <v>325</v>
      </c>
      <c r="G24" s="6" t="s">
        <v>40</v>
      </c>
      <c r="H24" s="3" t="n">
        <v>3</v>
      </c>
      <c r="I24" s="3" t="s">
        <v>321</v>
      </c>
    </row>
    <row r="25" customFormat="false" ht="23.25" hidden="false" customHeight="true" outlineLevel="0" collapsed="false">
      <c r="A25" s="22" t="s">
        <v>326</v>
      </c>
      <c r="B25" s="23" t="s">
        <v>68</v>
      </c>
      <c r="C25" s="24" t="s">
        <v>327</v>
      </c>
      <c r="D25" s="23" t="s">
        <v>328</v>
      </c>
      <c r="E25" s="23" t="s">
        <v>329</v>
      </c>
      <c r="F25" s="23" t="s">
        <v>330</v>
      </c>
      <c r="G25" s="23" t="s">
        <v>331</v>
      </c>
      <c r="H25" s="22" t="n">
        <v>10</v>
      </c>
      <c r="I25" s="22" t="s">
        <v>332</v>
      </c>
    </row>
    <row r="26" customFormat="false" ht="15" hidden="false" customHeight="true" outlineLevel="0" collapsed="false">
      <c r="E26" s="25" t="s">
        <v>333</v>
      </c>
      <c r="H26" s="15" t="n">
        <f aca="false">SUM(H2:H25)</f>
        <v>117</v>
      </c>
    </row>
    <row r="28" customFormat="false" ht="60" hidden="false" customHeight="true" outlineLevel="0" collapsed="false">
      <c r="B28" s="16" t="s">
        <v>334</v>
      </c>
      <c r="C28" s="16"/>
      <c r="D28" s="16"/>
      <c r="E28" s="16"/>
      <c r="F28" s="16"/>
      <c r="G28" s="16"/>
      <c r="H28" s="16"/>
      <c r="I28" s="16"/>
    </row>
  </sheetData>
  <mergeCells count="1"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2026-08-13T07:24:19Z</dcterms:created>
  <dc:creator>openpyxl</dc:creator>
  <dc:description/>
  <dc:language>en-US</dc:language>
  <cp:lastModifiedBy/>
  <dcterms:modified xsi:type="dcterms:W3CDTF">2026-08-18T05:07:26Z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