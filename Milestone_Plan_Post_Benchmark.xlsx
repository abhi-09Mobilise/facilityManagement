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s (Sequenced)" sheetId="1" state="visible" r:id="rId3"/>
    <sheet name="Phase 3 Backlog (Uncommitted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<sst xmlns="http://schemas.openxmlformats.org/spreadsheetml/2006/main" count="260" uniqueCount="178">
  <si>
    <t xml:space="preserve">Milestone</t>
  </si>
  <si>
    <t xml:space="preserve">Phase</t>
  </si>
  <si>
    <t xml:space="preserve">Area</t>
  </si>
  <si>
    <t xml:space="preserve">Milestone Name</t>
  </si>
  <si>
    <t xml:space="preserve">Scope / Deliverables</t>
  </si>
  <si>
    <t xml:space="preserve">Depends On</t>
  </si>
  <si>
    <t xml:space="preserve">Effort (dev-days)</t>
  </si>
  <si>
    <t xml:space="preserve">Change vs previous plan (from benchmark report)</t>
  </si>
  <si>
    <t xml:space="preserve">PHASE 1 - ALL CORE FUNCTIONALITY</t>
  </si>
  <si>
    <t xml:space="preserve">M1</t>
  </si>
  <si>
    <t xml:space="preserve">Phase 1</t>
  </si>
  <si>
    <t xml:space="preserve">Foundation</t>
  </si>
  <si>
    <t xml:space="preserve">Desk entity groundwork</t>
  </si>
  <si>
    <t xml:space="preserve">Stable unique desk/chair IDs in layout_json + save-time validation; migration for existing layouts.</t>
  </si>
  <si>
    <t xml:space="preserve">-</t>
  </si>
  <si>
    <t xml:space="preserve">Unchanged. Report reinforces: the stable desk ID becomes the QR payload / wayfinding key (M15).</t>
  </si>
  <si>
    <t xml:space="preserve">M2</t>
  </si>
  <si>
    <t xml:space="preserve">Admin Controls</t>
  </si>
  <si>
    <t xml:space="preserve">Desk blocking &amp; maintenance windows</t>
  </si>
  <si>
    <t xml:space="preserve">Desk/chair block status + date-ranged maintenance windows with reason; conflict handling; controls in layout editor.</t>
  </si>
  <si>
    <t xml:space="preserve">Scope note added: check linking blocked-desk status to opsSuite maintenance ticketing instead of duplicating a maintenance-state model.</t>
  </si>
  <si>
    <t xml:space="preserve">M3</t>
  </si>
  <si>
    <t xml:space="preserve">Grace-period &amp; policy config (schema + UI)</t>
  </si>
  <si>
    <t xml:space="preserve">grace_period_minutes + check-in schema; release rules and reminder offsets in admin screens.</t>
  </si>
  <si>
    <t xml:space="preserve">Scope CHANGED: grace period must be per-location / per-group config, not a global constant (multi-site clients, e.g. Sodexo 1,100+ sites).</t>
  </si>
  <si>
    <t xml:space="preserve">M4</t>
  </si>
  <si>
    <t xml:space="preserve">User Experience</t>
  </si>
  <si>
    <t xml:space="preserve">Floor-level availability map</t>
  </si>
  <si>
    <t xml:space="preserve">Aggregate per-facility layouts into a floor map; colour-coded availability; polling refresh.</t>
  </si>
  <si>
    <t xml:space="preserve">Unchanged.</t>
  </si>
  <si>
    <t xml:space="preserve">M5</t>
  </si>
  <si>
    <t xml:space="preserve">Mobile optimization pass</t>
  </si>
  <si>
    <t xml:space="preserve">Booking flow, seat picker and check-in screens optimized for phones; responsive audit.</t>
  </si>
  <si>
    <t xml:space="preserve">Note: responsive web may literally satisfy Req 4 ('mobile-responsive'); native app deferred to Phase 3 backlog.</t>
  </si>
  <si>
    <t xml:space="preserve">M6</t>
  </si>
  <si>
    <t xml:space="preserve">Analytics</t>
  </si>
  <si>
    <t xml:space="preserve">Reporting data layer</t>
  </si>
  <si>
    <t xml:space="preserve">Historical daily occupancy aggregates with building/floor/department/BU dimensions; date-range APIs.</t>
  </si>
  <si>
    <t xml:space="preserve">Scope note added: dept/BU cuts need an HRMS field join (HReVO) - scope that data contract early, before build.</t>
  </si>
  <si>
    <t xml:space="preserve">M7</t>
  </si>
  <si>
    <t xml:space="preserve">Dashboard v2 - core</t>
  </si>
  <si>
    <t xml:space="preserve">Occupancy trends, peak-period heatmap, drill-down by building/floor/dept; auto-refresh.</t>
  </si>
  <si>
    <t xml:space="preserve">M8</t>
  </si>
  <si>
    <t xml:space="preserve">Excel/PDF export</t>
  </si>
  <si>
    <t xml:space="preserve">Generalized export service for all reports; server-side PDF rendering.</t>
  </si>
  <si>
    <t xml:space="preserve">M9</t>
  </si>
  <si>
    <t xml:space="preserve">Scheduled report distribution</t>
  </si>
  <si>
    <t xml:space="preserve">Admin-configurable subscriptions; cron renders Excel/PDF and emails.</t>
  </si>
  <si>
    <t xml:space="preserve">Report upgrade: only Eptura delivers this cleanly - shipping it makes it a genuine differentiator, not just parity.</t>
  </si>
  <si>
    <t xml:space="preserve">M10</t>
  </si>
  <si>
    <t xml:space="preserve">Auto-Release</t>
  </si>
  <si>
    <t xml:space="preserve">Check-in data model</t>
  </si>
  <si>
    <t xml:space="preserve">checked_in_at / checked_out_at columns + booking status transitions.</t>
  </si>
  <si>
    <t xml:space="preserve">M11</t>
  </si>
  <si>
    <t xml:space="preserve">Check-in / check-out API + UI</t>
  </si>
  <si>
    <t xml:space="preserve">POST check-in/check-out with window validation; check-in button on booking cards/detail; admin override.</t>
  </si>
  <si>
    <t xml:space="preserve">M12</t>
  </si>
  <si>
    <t xml:space="preserve">Auto-release sweeper</t>
  </si>
  <si>
    <t xml:space="preserve">Release approved bookings past start+grace with no check-in; free seat/capacity; idempotent + race-safe.</t>
  </si>
  <si>
    <t xml:space="preserve">Scope note added: ship with a 'log-only' observe-first mode before enforcing (Skedda rollout pattern).</t>
  </si>
  <si>
    <t xml:space="preserve">M13</t>
  </si>
  <si>
    <t xml:space="preserve">Booking audit log</t>
  </si>
  <si>
    <t xml:space="preserve">booking_audit_log table; events for create/check-in/release/cancel/reschedule; admin viewer + export.</t>
  </si>
  <si>
    <t xml:space="preserve">Scope CHANGED: align audit schema with HReVO's compliance/audit format so a future combined compliance report needs no second data model.</t>
  </si>
  <si>
    <t xml:space="preserve">M14</t>
  </si>
  <si>
    <t xml:space="preserve">Released-bookings report</t>
  </si>
  <si>
    <t xml:space="preserve">Released-bookings view on dashboard (from sweeper data).</t>
  </si>
  <si>
    <t xml:space="preserve">M12, M7</t>
  </si>
  <si>
    <t xml:space="preserve">M15</t>
  </si>
  <si>
    <t xml:space="preserve">QR check-in / check-out</t>
  </si>
  <si>
    <t xml:space="preserve">QR per desk/facility, printable labels; mobile scan page -&gt; check-in/out API. QR payload = stable desk/floor ID (doubles as wayfinding key).</t>
  </si>
  <si>
    <t xml:space="preserve">REINSTATED - was dropped in the last resequencing. Report maps QR to Req 1 + Req 4 as a Ph1 item.</t>
  </si>
  <si>
    <t xml:space="preserve">M16</t>
  </si>
  <si>
    <t xml:space="preserve">Team seating visibility / find-a-colleague</t>
  </si>
  <si>
    <t xml:space="preserve">'Where is my team today' on floor map; colleague search; permission gating + privacy opt-out.</t>
  </si>
  <si>
    <t xml:space="preserve">REINSTATED + widened to find-a-colleague. Report: explicitly named in Req 4 but was on no roadmap phase.</t>
  </si>
  <si>
    <t xml:space="preserve">M17</t>
  </si>
  <si>
    <t xml:space="preserve">Notifications</t>
  </si>
  <si>
    <t xml:space="preserve">Reminder engine</t>
  </si>
  <si>
    <t xml:space="preserve">Pre-start booking reminder + check-in expiry reminder; per-tenant offsets.</t>
  </si>
  <si>
    <t xml:space="preserve">M18</t>
  </si>
  <si>
    <t xml:space="preserve">Release notifications</t>
  </si>
  <si>
    <t xml:space="preserve">Pre-release warning + post-release email, wired into sweeper; reuse action-link mailer.</t>
  </si>
  <si>
    <t xml:space="preserve">M19</t>
  </si>
  <si>
    <t xml:space="preserve">Admin occupancy alerts</t>
  </si>
  <si>
    <t xml:space="preserve">Threshold alerts (occupancy %, later no-show rate) emailed to admins; per-tenant config.</t>
  </si>
  <si>
    <t xml:space="preserve">M20</t>
  </si>
  <si>
    <t xml:space="preserve">Central monitoring dashboard</t>
  </si>
  <si>
    <t xml:space="preserve">Admin console: live released counters, audit log feed, alert feed.</t>
  </si>
  <si>
    <t xml:space="preserve">M13, M6</t>
  </si>
  <si>
    <t xml:space="preserve">Unchanged (sequenced late - needs audit log + reporting layer).</t>
  </si>
  <si>
    <t xml:space="preserve">M21</t>
  </si>
  <si>
    <t xml:space="preserve">Cross-cutting</t>
  </si>
  <si>
    <t xml:space="preserve">Phase 1 stabilization &amp; UAT</t>
  </si>
  <si>
    <t xml:space="preserve">Regression + load test on sweeper, pilot floor rollout, client UAT, fixes.</t>
  </si>
  <si>
    <t xml:space="preserve">M1-M20</t>
  </si>
  <si>
    <t xml:space="preserve">PHASE 2 - BIOMETRIC / ATTENDANCE</t>
  </si>
  <si>
    <t xml:space="preserve">M22</t>
  </si>
  <si>
    <t xml:space="preserve">Phase 2</t>
  </si>
  <si>
    <t xml:space="preserve">Biometric</t>
  </si>
  <si>
    <t xml:space="preserve">Discovery: Count-first evaluation + connector design</t>
  </si>
  <si>
    <t xml:space="preserve">FIRST evaluate reusing Mobilise's own Count IoT attendance product as the device/attendance-data layer; only if unsuitable, confirm external vendor &amp; integration mode; employee-ID mapping; interface contract.</t>
  </si>
  <si>
    <t xml:space="preserve">Client input</t>
  </si>
  <si>
    <t xml:space="preserve">Scope CHANGED: report flags Count reuse - could turn Ph2 into an internal integration instead of a new vendor integration. Also: no external vendor delivers named biometric integration cleanly - this is a market gap we can win.</t>
  </si>
  <si>
    <t xml:space="preserve">M23</t>
  </si>
  <si>
    <t xml:space="preserve">Attendance ingestion service</t>
  </si>
  <si>
    <t xml:space="preserve">attendance_records table; scheduled sync (Count API / vendor API / CSV); dedupe + employee mapping; failure alerts.</t>
  </si>
  <si>
    <t xml:space="preserve">Unchanged in substance; source may be Count.</t>
  </si>
  <si>
    <t xml:space="preserve">M24</t>
  </si>
  <si>
    <t xml:space="preserve">Reconciliation engine</t>
  </si>
  <si>
    <t xml:space="preserve">Daily join of attendance vs bookings; classify utilized / no-show / walk-in.</t>
  </si>
  <si>
    <t xml:space="preserve">M23, M12</t>
  </si>
  <si>
    <t xml:space="preserve">M25</t>
  </si>
  <si>
    <t xml:space="preserve">No-show analytics &amp; compliance reports</t>
  </si>
  <si>
    <t xml:space="preserve">No-show analysis on dashboard + utilized/no-show/walk-in reports by dept/site/date-range; Excel/PDF export.</t>
  </si>
  <si>
    <t xml:space="preserve">M26</t>
  </si>
  <si>
    <t xml:space="preserve">Badge / multi-method check-in extension</t>
  </si>
  <si>
    <t xml:space="preserve">Piggyback badge (and optionally geo/Wi-Fi) check-in on the Count/biometric integration so check-in methods extend beyond QR toward the multi-method benchmark.</t>
  </si>
  <si>
    <t xml:space="preserve">M22, M11</t>
  </si>
  <si>
    <t xml:space="preserve">NEW milestone - report: benchmark expects multi-method check-in; roadmap previously scoped QR only.</t>
  </si>
  <si>
    <t xml:space="preserve">M27</t>
  </si>
  <si>
    <t xml:space="preserve">Phase 2 UAT &amp; rollout</t>
  </si>
  <si>
    <t xml:space="preserve">End-to-end regression, client UAT, deployment, handover.</t>
  </si>
  <si>
    <t xml:space="preserve">M22-M26</t>
  </si>
  <si>
    <t xml:space="preserve">Phase 1 total (dev-days)</t>
  </si>
  <si>
    <t xml:space="preserve">Phase 2 total (dev-days)</t>
  </si>
  <si>
    <t xml:space="preserve">Grand total</t>
  </si>
  <si>
    <t xml:space="preserve">Updated after the Desk Booking Vendor Comparison Report (20-Aug-2026). Changes: M15 QR and M16 team visibility reinstated into Phase 1; M22 discovery now Count-first; M26 badge/multi-method check-in added to Phase 2; scope notes tightened on M2 (opsSuite), M3 (per-site grace), M6 (HReVO data contract), M13 (HReVO audit schema), M12 (log-only rollout). Correction to the report: meeting/conference-room booking is LIVE in SoCampus FM (it is the platform's core), not 'N/not in scope' - our benchmark score is understated. Phase 3 backlog (next sheet) holds the benchmark items not on any committed phase.</t>
  </si>
  <si>
    <t xml:space="preserve">#</t>
  </si>
  <si>
    <t xml:space="preserve">Candidate</t>
  </si>
  <si>
    <t xml:space="preserve">What it is</t>
  </si>
  <si>
    <t xml:space="preserve">Benchmark coverage (of 5 vendors)</t>
  </si>
  <si>
    <t xml:space="preserve">Indicative effort</t>
  </si>
  <si>
    <t xml:space="preserve">Considerations from report</t>
  </si>
  <si>
    <t xml:space="preserve">SSO / SAML</t>
  </si>
  <si>
    <t xml:space="preserve">SAML/OIDC single sign-on (Entra, Okta, Google)</t>
  </si>
  <si>
    <t xml:space="preserve">3/5 (universal among top-3)</t>
  </si>
  <si>
    <t xml:space="preserve">8-10 d</t>
  </si>
  <si>
    <t xml:space="preserve">Report: if HReVO already owns identity for Mobilise's client base, SoCampus FM may inherit SSO from there rather than building standalone - investigate first.</t>
  </si>
  <si>
    <t xml:space="preserve">MS365 / Outlook two-way sync</t>
  </si>
  <si>
    <t xml:space="preserve">Bookings appear on Outlook/Google calendars; two-way updates</t>
  </si>
  <si>
    <t xml:space="preserve">3/5</t>
  </si>
  <si>
    <t xml:space="preserve">8-12 d</t>
  </si>
  <si>
    <t xml:space="preserve">Table stakes among top-3 vendors; pairs naturally with SSO work.</t>
  </si>
  <si>
    <t xml:space="preserve">MS Teams / Slack integration</t>
  </si>
  <si>
    <t xml:space="preserve">Book + get reminders inside Teams/Slack</t>
  </si>
  <si>
    <t xml:space="preserve">10-15 d</t>
  </si>
  <si>
    <t xml:space="preserve">Top-3 all have it; Teams likely higher value than Slack for target clients.</t>
  </si>
  <si>
    <t xml:space="preserve">Native mobile app / PWA</t>
  </si>
  <si>
    <t xml:space="preserve">iOS/Android app (or installable PWA) for booking + QR scan</t>
  </si>
  <si>
    <t xml:space="preserve">4/5</t>
  </si>
  <si>
    <t xml:space="preserve">15-25 d</t>
  </si>
  <si>
    <t xml:space="preserve">Req 4 asks only for 'mobile-responsive' - literal requirement may already be met after M5; PWA is the cheap middle path.</t>
  </si>
  <si>
    <t xml:space="preserve">Multi-location / org hub</t>
  </si>
  <si>
    <t xml:space="preserve">Cross-site portfolio view and administration</t>
  </si>
  <si>
    <t xml:space="preserve">5/5 (universal)</t>
  </si>
  <si>
    <t xml:space="preserve">6-8 d</t>
  </si>
  <si>
    <t xml:space="preserve">Not in the six requirements, but flagged as a scaling requirement for multi-site clients (Sodexo 1,100+ sites). Our multi-tenant model is a head start.</t>
  </si>
  <si>
    <t xml:space="preserve">Access-control integration</t>
  </si>
  <si>
    <t xml:space="preserve">Ingest badge/turnstile events (Honeywell/Dorlet-style)</t>
  </si>
  <si>
    <t xml:space="preserve">Prerequisite for a stronger Req 2 if Count is not used; M26 badge check-in partially covers this.</t>
  </si>
  <si>
    <t xml:space="preserve">Team neighborhoods / zones</t>
  </si>
  <si>
    <t xml:space="preserve">Reserve floor zones per team/department</t>
  </si>
  <si>
    <t xml:space="preserve">5-6 d</t>
  </si>
  <si>
    <t xml:space="preserve">Not explicitly asked; supports search/filter indirectly. Our team-seating zones could extend the layout editor.</t>
  </si>
  <si>
    <t xml:space="preserve">Team / group booking</t>
  </si>
  <si>
    <t xml:space="preserve">Book multiple adjacent desks for a squad in one action</t>
  </si>
  <si>
    <t xml:space="preserve">5-7 d</t>
  </si>
  <si>
    <t xml:space="preserve">Universal among vendors; natural extension of our multi-chair selection.</t>
  </si>
  <si>
    <t xml:space="preserve">Parking booking</t>
  </si>
  <si>
    <t xml:space="preserve">Parking slot booking module</t>
  </si>
  <si>
    <t xml:space="preserve">Universal among vendors but not in the brief; our facility-type model (add 'parking' type) lowers the cost.</t>
  </si>
  <si>
    <t xml:space="preserve">Visitor management</t>
  </si>
  <si>
    <t xml:space="preserve">Visitor pre-registration, host alerts, badge printing</t>
  </si>
  <si>
    <t xml:space="preserve">4.5/5</t>
  </si>
  <si>
    <t xml:space="preserve">15-20 d</t>
  </si>
  <si>
    <t xml:space="preserve">Not in the brief; consider only if productizing SoCampus FM beyond desk booking.</t>
  </si>
  <si>
    <t xml:space="preserve">Phase 3 items are NOT committed - they are the 'not in scope / not confirmed' benchmark features from the vendor report, needed only for full category parity. Indicative efforts are rough sizing for discussion, not estimates. Recommend revisiting after Phase 1 ships and the comparison is re-run.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</si>
</sst>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DEBF7"/>
      </patternFill>
    </fill>
    <fill>
      <patternFill patternType="solid">
        <fgColor rgb="FFEDEDED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EDEDED"/>
      <rgbColor rgb="FFE4DFEC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7"/>
    <col collapsed="false" customWidth="true" hidden="false" outlineLevel="0" max="4" min="4" style="0" width="30"/>
    <col collapsed="false" customWidth="true" hidden="false" outlineLevel="0" max="5" min="5" style="0" width="58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4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/>
      <c r="C2" s="2"/>
      <c r="D2" s="2"/>
      <c r="E2" s="2"/>
      <c r="F2" s="2"/>
      <c r="G2" s="2"/>
      <c r="H2" s="2"/>
    </row>
    <row r="3" customFormat="false" ht="23.85" hidden="false" customHeight="false" outlineLevel="0" collapsed="false">
      <c r="A3" s="3" t="s">
        <v>9</v>
      </c>
      <c r="B3" s="4" t="s">
        <v>10</v>
      </c>
      <c r="C3" s="5" t="s">
        <v>11</v>
      </c>
      <c r="D3" s="6" t="s">
        <v>12</v>
      </c>
      <c r="E3" s="6" t="s">
        <v>13</v>
      </c>
      <c r="F3" s="4" t="s">
        <v>14</v>
      </c>
      <c r="G3" s="4" t="n">
        <v>4</v>
      </c>
      <c r="H3" s="6" t="s">
        <v>15</v>
      </c>
    </row>
    <row r="4" customFormat="false" ht="35.05" hidden="false" customHeight="false" outlineLevel="0" collapsed="false">
      <c r="A4" s="3" t="s">
        <v>16</v>
      </c>
      <c r="B4" s="4" t="s">
        <v>10</v>
      </c>
      <c r="C4" s="7" t="s">
        <v>17</v>
      </c>
      <c r="D4" s="6" t="s">
        <v>18</v>
      </c>
      <c r="E4" s="6" t="s">
        <v>19</v>
      </c>
      <c r="F4" s="4" t="s">
        <v>9</v>
      </c>
      <c r="G4" s="4" t="n">
        <v>5</v>
      </c>
      <c r="H4" s="6" t="s">
        <v>20</v>
      </c>
    </row>
    <row r="5" customFormat="false" ht="35.05" hidden="false" customHeight="false" outlineLevel="0" collapsed="false">
      <c r="A5" s="3" t="s">
        <v>21</v>
      </c>
      <c r="B5" s="4" t="s">
        <v>10</v>
      </c>
      <c r="C5" s="7" t="s">
        <v>17</v>
      </c>
      <c r="D5" s="6" t="s">
        <v>22</v>
      </c>
      <c r="E5" s="6" t="s">
        <v>23</v>
      </c>
      <c r="F5" s="4" t="s">
        <v>9</v>
      </c>
      <c r="G5" s="4" t="n">
        <v>4</v>
      </c>
      <c r="H5" s="6" t="s">
        <v>24</v>
      </c>
    </row>
    <row r="6" customFormat="false" ht="23.85" hidden="false" customHeight="false" outlineLevel="0" collapsed="false">
      <c r="A6" s="3" t="s">
        <v>25</v>
      </c>
      <c r="B6" s="4" t="s">
        <v>10</v>
      </c>
      <c r="C6" s="8" t="s">
        <v>26</v>
      </c>
      <c r="D6" s="6" t="s">
        <v>27</v>
      </c>
      <c r="E6" s="6" t="s">
        <v>28</v>
      </c>
      <c r="F6" s="4" t="s">
        <v>9</v>
      </c>
      <c r="G6" s="4" t="n">
        <v>6</v>
      </c>
      <c r="H6" s="6" t="s">
        <v>29</v>
      </c>
    </row>
    <row r="7" customFormat="false" ht="23.85" hidden="false" customHeight="false" outlineLevel="0" collapsed="false">
      <c r="A7" s="3" t="s">
        <v>30</v>
      </c>
      <c r="B7" s="4" t="s">
        <v>10</v>
      </c>
      <c r="C7" s="8" t="s">
        <v>26</v>
      </c>
      <c r="D7" s="6" t="s">
        <v>31</v>
      </c>
      <c r="E7" s="6" t="s">
        <v>32</v>
      </c>
      <c r="F7" s="4" t="s">
        <v>25</v>
      </c>
      <c r="G7" s="4" t="n">
        <v>5</v>
      </c>
      <c r="H7" s="6" t="s">
        <v>33</v>
      </c>
    </row>
    <row r="8" customFormat="false" ht="23.85" hidden="false" customHeight="false" outlineLevel="0" collapsed="false">
      <c r="A8" s="3" t="s">
        <v>34</v>
      </c>
      <c r="B8" s="4" t="s">
        <v>10</v>
      </c>
      <c r="C8" s="9" t="s">
        <v>35</v>
      </c>
      <c r="D8" s="6" t="s">
        <v>36</v>
      </c>
      <c r="E8" s="6" t="s">
        <v>37</v>
      </c>
      <c r="F8" s="4" t="s">
        <v>14</v>
      </c>
      <c r="G8" s="4" t="n">
        <v>6</v>
      </c>
      <c r="H8" s="6" t="s">
        <v>38</v>
      </c>
    </row>
    <row r="9" customFormat="false" ht="23.85" hidden="false" customHeight="false" outlineLevel="0" collapsed="false">
      <c r="A9" s="3" t="s">
        <v>39</v>
      </c>
      <c r="B9" s="4" t="s">
        <v>10</v>
      </c>
      <c r="C9" s="9" t="s">
        <v>35</v>
      </c>
      <c r="D9" s="6" t="s">
        <v>40</v>
      </c>
      <c r="E9" s="6" t="s">
        <v>41</v>
      </c>
      <c r="F9" s="4" t="s">
        <v>34</v>
      </c>
      <c r="G9" s="4" t="n">
        <v>5</v>
      </c>
      <c r="H9" s="6" t="s">
        <v>29</v>
      </c>
    </row>
    <row r="10" customFormat="false" ht="15" hidden="false" customHeight="false" outlineLevel="0" collapsed="false">
      <c r="A10" s="3" t="s">
        <v>42</v>
      </c>
      <c r="B10" s="4" t="s">
        <v>10</v>
      </c>
      <c r="C10" s="9" t="s">
        <v>35</v>
      </c>
      <c r="D10" s="6" t="s">
        <v>43</v>
      </c>
      <c r="E10" s="6" t="s">
        <v>44</v>
      </c>
      <c r="F10" s="4" t="s">
        <v>39</v>
      </c>
      <c r="G10" s="4" t="n">
        <v>4</v>
      </c>
      <c r="H10" s="6" t="s">
        <v>29</v>
      </c>
    </row>
    <row r="11" customFormat="false" ht="23.85" hidden="false" customHeight="false" outlineLevel="0" collapsed="false">
      <c r="A11" s="3" t="s">
        <v>45</v>
      </c>
      <c r="B11" s="4" t="s">
        <v>10</v>
      </c>
      <c r="C11" s="9" t="s">
        <v>35</v>
      </c>
      <c r="D11" s="6" t="s">
        <v>46</v>
      </c>
      <c r="E11" s="6" t="s">
        <v>47</v>
      </c>
      <c r="F11" s="4" t="s">
        <v>42</v>
      </c>
      <c r="G11" s="4" t="n">
        <v>4</v>
      </c>
      <c r="H11" s="6" t="s">
        <v>48</v>
      </c>
    </row>
    <row r="12" customFormat="false" ht="15" hidden="false" customHeight="false" outlineLevel="0" collapsed="false">
      <c r="A12" s="3" t="s">
        <v>49</v>
      </c>
      <c r="B12" s="4" t="s">
        <v>10</v>
      </c>
      <c r="C12" s="10" t="s">
        <v>50</v>
      </c>
      <c r="D12" s="6" t="s">
        <v>51</v>
      </c>
      <c r="E12" s="6" t="s">
        <v>52</v>
      </c>
      <c r="F12" s="4" t="s">
        <v>21</v>
      </c>
      <c r="G12" s="4" t="n">
        <v>3</v>
      </c>
      <c r="H12" s="6" t="s">
        <v>29</v>
      </c>
    </row>
    <row r="13" customFormat="false" ht="23.85" hidden="false" customHeight="false" outlineLevel="0" collapsed="false">
      <c r="A13" s="3" t="s">
        <v>53</v>
      </c>
      <c r="B13" s="4" t="s">
        <v>10</v>
      </c>
      <c r="C13" s="10" t="s">
        <v>50</v>
      </c>
      <c r="D13" s="6" t="s">
        <v>54</v>
      </c>
      <c r="E13" s="6" t="s">
        <v>55</v>
      </c>
      <c r="F13" s="4" t="s">
        <v>49</v>
      </c>
      <c r="G13" s="4" t="n">
        <v>5</v>
      </c>
      <c r="H13" s="6" t="s">
        <v>29</v>
      </c>
    </row>
    <row r="14" customFormat="false" ht="23.85" hidden="false" customHeight="false" outlineLevel="0" collapsed="false">
      <c r="A14" s="3" t="s">
        <v>56</v>
      </c>
      <c r="B14" s="4" t="s">
        <v>10</v>
      </c>
      <c r="C14" s="10" t="s">
        <v>50</v>
      </c>
      <c r="D14" s="6" t="s">
        <v>57</v>
      </c>
      <c r="E14" s="6" t="s">
        <v>58</v>
      </c>
      <c r="F14" s="4" t="s">
        <v>53</v>
      </c>
      <c r="G14" s="4" t="n">
        <v>5</v>
      </c>
      <c r="H14" s="6" t="s">
        <v>59</v>
      </c>
    </row>
    <row r="15" customFormat="false" ht="35.05" hidden="false" customHeight="false" outlineLevel="0" collapsed="false">
      <c r="A15" s="3" t="s">
        <v>60</v>
      </c>
      <c r="B15" s="4" t="s">
        <v>10</v>
      </c>
      <c r="C15" s="10" t="s">
        <v>50</v>
      </c>
      <c r="D15" s="6" t="s">
        <v>61</v>
      </c>
      <c r="E15" s="6" t="s">
        <v>62</v>
      </c>
      <c r="F15" s="4" t="s">
        <v>56</v>
      </c>
      <c r="G15" s="4" t="n">
        <v>4</v>
      </c>
      <c r="H15" s="6" t="s">
        <v>63</v>
      </c>
    </row>
    <row r="16" customFormat="false" ht="15" hidden="false" customHeight="false" outlineLevel="0" collapsed="false">
      <c r="A16" s="3" t="s">
        <v>64</v>
      </c>
      <c r="B16" s="4" t="s">
        <v>10</v>
      </c>
      <c r="C16" s="10" t="s">
        <v>50</v>
      </c>
      <c r="D16" s="6" t="s">
        <v>65</v>
      </c>
      <c r="E16" s="6" t="s">
        <v>66</v>
      </c>
      <c r="F16" s="4" t="s">
        <v>67</v>
      </c>
      <c r="G16" s="4" t="n">
        <v>2</v>
      </c>
      <c r="H16" s="6" t="s">
        <v>29</v>
      </c>
    </row>
    <row r="17" customFormat="false" ht="23.85" hidden="false" customHeight="false" outlineLevel="0" collapsed="false">
      <c r="A17" s="3" t="s">
        <v>68</v>
      </c>
      <c r="B17" s="4" t="s">
        <v>10</v>
      </c>
      <c r="C17" s="8" t="s">
        <v>26</v>
      </c>
      <c r="D17" s="6" t="s">
        <v>69</v>
      </c>
      <c r="E17" s="6" t="s">
        <v>70</v>
      </c>
      <c r="F17" s="4" t="s">
        <v>53</v>
      </c>
      <c r="G17" s="4" t="n">
        <v>5</v>
      </c>
      <c r="H17" s="11" t="s">
        <v>71</v>
      </c>
    </row>
    <row r="18" customFormat="false" ht="35.05" hidden="false" customHeight="false" outlineLevel="0" collapsed="false">
      <c r="A18" s="3" t="s">
        <v>72</v>
      </c>
      <c r="B18" s="4" t="s">
        <v>10</v>
      </c>
      <c r="C18" s="8" t="s">
        <v>26</v>
      </c>
      <c r="D18" s="6" t="s">
        <v>73</v>
      </c>
      <c r="E18" s="6" t="s">
        <v>74</v>
      </c>
      <c r="F18" s="4" t="s">
        <v>25</v>
      </c>
      <c r="G18" s="4" t="n">
        <v>4</v>
      </c>
      <c r="H18" s="11" t="s">
        <v>75</v>
      </c>
    </row>
    <row r="19" customFormat="false" ht="23.85" hidden="false" customHeight="false" outlineLevel="0" collapsed="false">
      <c r="A19" s="3" t="s">
        <v>76</v>
      </c>
      <c r="B19" s="4" t="s">
        <v>10</v>
      </c>
      <c r="C19" s="12" t="s">
        <v>77</v>
      </c>
      <c r="D19" s="6" t="s">
        <v>78</v>
      </c>
      <c r="E19" s="6" t="s">
        <v>79</v>
      </c>
      <c r="F19" s="4" t="s">
        <v>53</v>
      </c>
      <c r="G19" s="4" t="n">
        <v>4</v>
      </c>
      <c r="H19" s="6" t="s">
        <v>29</v>
      </c>
    </row>
    <row r="20" customFormat="false" ht="23.85" hidden="false" customHeight="false" outlineLevel="0" collapsed="false">
      <c r="A20" s="3" t="s">
        <v>80</v>
      </c>
      <c r="B20" s="4" t="s">
        <v>10</v>
      </c>
      <c r="C20" s="12" t="s">
        <v>77</v>
      </c>
      <c r="D20" s="6" t="s">
        <v>81</v>
      </c>
      <c r="E20" s="6" t="s">
        <v>82</v>
      </c>
      <c r="F20" s="4" t="s">
        <v>56</v>
      </c>
      <c r="G20" s="4" t="n">
        <v>3</v>
      </c>
      <c r="H20" s="6" t="s">
        <v>29</v>
      </c>
    </row>
    <row r="21" customFormat="false" ht="23.85" hidden="false" customHeight="false" outlineLevel="0" collapsed="false">
      <c r="A21" s="3" t="s">
        <v>83</v>
      </c>
      <c r="B21" s="4" t="s">
        <v>10</v>
      </c>
      <c r="C21" s="12" t="s">
        <v>77</v>
      </c>
      <c r="D21" s="6" t="s">
        <v>84</v>
      </c>
      <c r="E21" s="6" t="s">
        <v>85</v>
      </c>
      <c r="F21" s="4" t="s">
        <v>34</v>
      </c>
      <c r="G21" s="4" t="n">
        <v>3</v>
      </c>
      <c r="H21" s="6" t="s">
        <v>29</v>
      </c>
    </row>
    <row r="22" customFormat="false" ht="23.85" hidden="false" customHeight="false" outlineLevel="0" collapsed="false">
      <c r="A22" s="3" t="s">
        <v>86</v>
      </c>
      <c r="B22" s="4" t="s">
        <v>10</v>
      </c>
      <c r="C22" s="7" t="s">
        <v>17</v>
      </c>
      <c r="D22" s="6" t="s">
        <v>87</v>
      </c>
      <c r="E22" s="6" t="s">
        <v>88</v>
      </c>
      <c r="F22" s="4" t="s">
        <v>89</v>
      </c>
      <c r="G22" s="4" t="n">
        <v>4</v>
      </c>
      <c r="H22" s="6" t="s">
        <v>90</v>
      </c>
    </row>
    <row r="23" customFormat="false" ht="15" hidden="false" customHeight="false" outlineLevel="0" collapsed="false">
      <c r="A23" s="3" t="s">
        <v>91</v>
      </c>
      <c r="B23" s="4" t="s">
        <v>10</v>
      </c>
      <c r="C23" s="5" t="s">
        <v>92</v>
      </c>
      <c r="D23" s="6" t="s">
        <v>93</v>
      </c>
      <c r="E23" s="6" t="s">
        <v>94</v>
      </c>
      <c r="F23" s="4" t="s">
        <v>95</v>
      </c>
      <c r="G23" s="4" t="n">
        <v>6</v>
      </c>
      <c r="H23" s="6" t="s">
        <v>29</v>
      </c>
    </row>
    <row r="24" customFormat="false" ht="15" hidden="false" customHeight="false" outlineLevel="0" collapsed="false">
      <c r="A24" s="13" t="s">
        <v>96</v>
      </c>
      <c r="B24" s="13"/>
      <c r="C24" s="13"/>
      <c r="D24" s="13"/>
      <c r="E24" s="13"/>
      <c r="F24" s="13"/>
      <c r="G24" s="13"/>
      <c r="H24" s="13"/>
    </row>
    <row r="25" customFormat="false" ht="57.45" hidden="false" customHeight="false" outlineLevel="0" collapsed="false">
      <c r="A25" s="3" t="s">
        <v>97</v>
      </c>
      <c r="B25" s="4" t="s">
        <v>98</v>
      </c>
      <c r="C25" s="14" t="s">
        <v>99</v>
      </c>
      <c r="D25" s="6" t="s">
        <v>100</v>
      </c>
      <c r="E25" s="6" t="s">
        <v>101</v>
      </c>
      <c r="F25" s="4" t="s">
        <v>102</v>
      </c>
      <c r="G25" s="4" t="n">
        <v>5</v>
      </c>
      <c r="H25" s="6" t="s">
        <v>103</v>
      </c>
    </row>
    <row r="26" customFormat="false" ht="23.85" hidden="false" customHeight="false" outlineLevel="0" collapsed="false">
      <c r="A26" s="3" t="s">
        <v>104</v>
      </c>
      <c r="B26" s="4" t="s">
        <v>98</v>
      </c>
      <c r="C26" s="14" t="s">
        <v>99</v>
      </c>
      <c r="D26" s="6" t="s">
        <v>105</v>
      </c>
      <c r="E26" s="6" t="s">
        <v>106</v>
      </c>
      <c r="F26" s="4" t="s">
        <v>97</v>
      </c>
      <c r="G26" s="4" t="n">
        <v>6</v>
      </c>
      <c r="H26" s="6" t="s">
        <v>107</v>
      </c>
    </row>
    <row r="27" customFormat="false" ht="23.85" hidden="false" customHeight="false" outlineLevel="0" collapsed="false">
      <c r="A27" s="3" t="s">
        <v>108</v>
      </c>
      <c r="B27" s="4" t="s">
        <v>98</v>
      </c>
      <c r="C27" s="14" t="s">
        <v>99</v>
      </c>
      <c r="D27" s="6" t="s">
        <v>109</v>
      </c>
      <c r="E27" s="6" t="s">
        <v>110</v>
      </c>
      <c r="F27" s="4" t="s">
        <v>111</v>
      </c>
      <c r="G27" s="4" t="n">
        <v>6</v>
      </c>
      <c r="H27" s="6" t="s">
        <v>29</v>
      </c>
    </row>
    <row r="28" customFormat="false" ht="23.85" hidden="false" customHeight="false" outlineLevel="0" collapsed="false">
      <c r="A28" s="3" t="s">
        <v>112</v>
      </c>
      <c r="B28" s="4" t="s">
        <v>98</v>
      </c>
      <c r="C28" s="14" t="s">
        <v>99</v>
      </c>
      <c r="D28" s="6" t="s">
        <v>113</v>
      </c>
      <c r="E28" s="6" t="s">
        <v>114</v>
      </c>
      <c r="F28" s="4" t="s">
        <v>108</v>
      </c>
      <c r="G28" s="4" t="n">
        <v>5</v>
      </c>
      <c r="H28" s="6" t="s">
        <v>29</v>
      </c>
    </row>
    <row r="29" customFormat="false" ht="35.05" hidden="false" customHeight="false" outlineLevel="0" collapsed="false">
      <c r="A29" s="3" t="s">
        <v>115</v>
      </c>
      <c r="B29" s="4" t="s">
        <v>98</v>
      </c>
      <c r="C29" s="14" t="s">
        <v>99</v>
      </c>
      <c r="D29" s="6" t="s">
        <v>116</v>
      </c>
      <c r="E29" s="6" t="s">
        <v>117</v>
      </c>
      <c r="F29" s="4" t="s">
        <v>118</v>
      </c>
      <c r="G29" s="4" t="n">
        <v>4</v>
      </c>
      <c r="H29" s="11" t="s">
        <v>119</v>
      </c>
    </row>
    <row r="30" customFormat="false" ht="15" hidden="false" customHeight="false" outlineLevel="0" collapsed="false">
      <c r="A30" s="3" t="s">
        <v>120</v>
      </c>
      <c r="B30" s="4" t="s">
        <v>98</v>
      </c>
      <c r="C30" s="5" t="s">
        <v>92</v>
      </c>
      <c r="D30" s="6" t="s">
        <v>121</v>
      </c>
      <c r="E30" s="6" t="s">
        <v>122</v>
      </c>
      <c r="F30" s="4" t="s">
        <v>123</v>
      </c>
      <c r="G30" s="4" t="n">
        <v>5</v>
      </c>
      <c r="H30" s="6" t="s">
        <v>29</v>
      </c>
    </row>
    <row r="31" customFormat="false" ht="15" hidden="false" customHeight="false" outlineLevel="0" collapsed="false">
      <c r="E31" s="15" t="s">
        <v>124</v>
      </c>
      <c r="G31" s="3" t="n">
        <f aca="false">SUM(G3:G23)</f>
        <v>91</v>
      </c>
    </row>
    <row r="32" customFormat="false" ht="15" hidden="false" customHeight="false" outlineLevel="0" collapsed="false">
      <c r="E32" s="15" t="s">
        <v>125</v>
      </c>
      <c r="G32" s="3" t="n">
        <f aca="false">SUM(G25:G30)</f>
        <v>31</v>
      </c>
    </row>
    <row r="33" customFormat="false" ht="15" hidden="false" customHeight="false" outlineLevel="0" collapsed="false">
      <c r="E33" s="15" t="s">
        <v>126</v>
      </c>
      <c r="G33" s="16" t="n">
        <f aca="false">G31+G32</f>
        <v>122</v>
      </c>
    </row>
    <row r="35" customFormat="false" ht="60" hidden="false" customHeight="true" outlineLevel="0" collapsed="false">
      <c r="A35" s="17" t="s">
        <v>127</v>
      </c>
      <c r="B35" s="17"/>
      <c r="C35" s="17"/>
      <c r="D35" s="17"/>
      <c r="E35" s="17"/>
      <c r="F35" s="17"/>
      <c r="G35" s="17"/>
      <c r="H35" s="17"/>
    </row>
  </sheetData>
  <mergeCells count="3">
    <mergeCell ref="A2:H2"/>
    <mergeCell ref="A24:H24"/>
    <mergeCell ref="A35:H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52"/>
  </cols>
  <sheetData>
    <row r="1" customFormat="false" ht="23.85" hidden="false" customHeight="false" outlineLevel="0" collapsed="false">
      <c r="A1" s="1" t="s">
        <v>128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</row>
    <row r="2" customFormat="false" ht="35.05" hidden="false" customHeight="false" outlineLevel="0" collapsed="false">
      <c r="A2" s="4" t="n">
        <v>1</v>
      </c>
      <c r="B2" s="18" t="s">
        <v>134</v>
      </c>
      <c r="C2" s="6" t="s">
        <v>135</v>
      </c>
      <c r="D2" s="6" t="s">
        <v>136</v>
      </c>
      <c r="E2" s="4" t="s">
        <v>137</v>
      </c>
      <c r="F2" s="6" t="s">
        <v>138</v>
      </c>
    </row>
    <row r="3" customFormat="false" ht="23.85" hidden="false" customHeight="false" outlineLevel="0" collapsed="false">
      <c r="A3" s="4" t="n">
        <v>2</v>
      </c>
      <c r="B3" s="18" t="s">
        <v>139</v>
      </c>
      <c r="C3" s="6" t="s">
        <v>140</v>
      </c>
      <c r="D3" s="6" t="s">
        <v>141</v>
      </c>
      <c r="E3" s="4" t="s">
        <v>142</v>
      </c>
      <c r="F3" s="6" t="s">
        <v>143</v>
      </c>
    </row>
    <row r="4" customFormat="false" ht="23.85" hidden="false" customHeight="false" outlineLevel="0" collapsed="false">
      <c r="A4" s="4" t="n">
        <v>3</v>
      </c>
      <c r="B4" s="18" t="s">
        <v>144</v>
      </c>
      <c r="C4" s="6" t="s">
        <v>145</v>
      </c>
      <c r="D4" s="6" t="s">
        <v>141</v>
      </c>
      <c r="E4" s="4" t="s">
        <v>146</v>
      </c>
      <c r="F4" s="6" t="s">
        <v>147</v>
      </c>
    </row>
    <row r="5" customFormat="false" ht="23.85" hidden="false" customHeight="false" outlineLevel="0" collapsed="false">
      <c r="A5" s="4" t="n">
        <v>4</v>
      </c>
      <c r="B5" s="18" t="s">
        <v>148</v>
      </c>
      <c r="C5" s="6" t="s">
        <v>149</v>
      </c>
      <c r="D5" s="6" t="s">
        <v>150</v>
      </c>
      <c r="E5" s="4" t="s">
        <v>151</v>
      </c>
      <c r="F5" s="6" t="s">
        <v>152</v>
      </c>
    </row>
    <row r="6" customFormat="false" ht="35.05" hidden="false" customHeight="false" outlineLevel="0" collapsed="false">
      <c r="A6" s="4" t="n">
        <v>5</v>
      </c>
      <c r="B6" s="18" t="s">
        <v>153</v>
      </c>
      <c r="C6" s="6" t="s">
        <v>154</v>
      </c>
      <c r="D6" s="6" t="s">
        <v>155</v>
      </c>
      <c r="E6" s="4" t="s">
        <v>156</v>
      </c>
      <c r="F6" s="6" t="s">
        <v>157</v>
      </c>
    </row>
    <row r="7" customFormat="false" ht="23.85" hidden="false" customHeight="false" outlineLevel="0" collapsed="false">
      <c r="A7" s="4" t="n">
        <v>6</v>
      </c>
      <c r="B7" s="18" t="s">
        <v>158</v>
      </c>
      <c r="C7" s="6" t="s">
        <v>159</v>
      </c>
      <c r="D7" s="6" t="s">
        <v>150</v>
      </c>
      <c r="E7" s="4" t="s">
        <v>137</v>
      </c>
      <c r="F7" s="6" t="s">
        <v>160</v>
      </c>
    </row>
    <row r="8" customFormat="false" ht="23.85" hidden="false" customHeight="false" outlineLevel="0" collapsed="false">
      <c r="A8" s="4" t="n">
        <v>7</v>
      </c>
      <c r="B8" s="18" t="s">
        <v>161</v>
      </c>
      <c r="C8" s="6" t="s">
        <v>162</v>
      </c>
      <c r="D8" s="6" t="s">
        <v>155</v>
      </c>
      <c r="E8" s="4" t="s">
        <v>163</v>
      </c>
      <c r="F8" s="6" t="s">
        <v>164</v>
      </c>
    </row>
    <row r="9" customFormat="false" ht="23.85" hidden="false" customHeight="false" outlineLevel="0" collapsed="false">
      <c r="A9" s="4" t="n">
        <v>8</v>
      </c>
      <c r="B9" s="18" t="s">
        <v>165</v>
      </c>
      <c r="C9" s="6" t="s">
        <v>166</v>
      </c>
      <c r="D9" s="6" t="s">
        <v>155</v>
      </c>
      <c r="E9" s="4" t="s">
        <v>167</v>
      </c>
      <c r="F9" s="6" t="s">
        <v>168</v>
      </c>
    </row>
    <row r="10" customFormat="false" ht="23.85" hidden="false" customHeight="false" outlineLevel="0" collapsed="false">
      <c r="A10" s="4" t="n">
        <v>9</v>
      </c>
      <c r="B10" s="18" t="s">
        <v>169</v>
      </c>
      <c r="C10" s="6" t="s">
        <v>170</v>
      </c>
      <c r="D10" s="6" t="s">
        <v>155</v>
      </c>
      <c r="E10" s="4" t="s">
        <v>146</v>
      </c>
      <c r="F10" s="6" t="s">
        <v>171</v>
      </c>
    </row>
    <row r="11" customFormat="false" ht="23.85" hidden="false" customHeight="false" outlineLevel="0" collapsed="false">
      <c r="A11" s="4" t="n">
        <v>10</v>
      </c>
      <c r="B11" s="18" t="s">
        <v>172</v>
      </c>
      <c r="C11" s="6" t="s">
        <v>173</v>
      </c>
      <c r="D11" s="6" t="s">
        <v>174</v>
      </c>
      <c r="E11" s="4" t="s">
        <v>175</v>
      </c>
      <c r="F11" s="6" t="s">
        <v>176</v>
      </c>
    </row>
    <row r="13" customFormat="false" ht="45" hidden="false" customHeight="true" outlineLevel="0" collapsed="false">
      <c r="A13" s="17" t="s">
        <v>177</v>
      </c>
      <c r="B13" s="17"/>
      <c r="C13" s="17"/>
      <c r="D13" s="17"/>
      <c r="E13" s="17"/>
      <c r="F13" s="17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2026-08-21T09:41:32Z</dcterms:created>
  <dc:creator>openpyxl</dc:creator>
  <dc:description/>
  <dc:language>en-US</dc:language>
  <cp:lastModifiedBy/>
  <dcterms:modified xsi:type="dcterms:W3CDTF">2026-08-21T09:41:32Z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